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autoCompressPictures="0" defaultThemeVersion="124226"/>
  <bookViews>
    <workbookView xWindow="15315" yWindow="420" windowWidth="26355" windowHeight="18225" tabRatio="855" firstSheet="1" activeTab="3"/>
  </bookViews>
  <sheets>
    <sheet name="RevNotes" sheetId="6" r:id="rId1"/>
    <sheet name="MechNotes" sheetId="1" r:id="rId2"/>
    <sheet name="Summary" sheetId="11" r:id="rId3"/>
    <sheet name="Stats" sheetId="2" r:id="rId4"/>
    <sheet name="Weapons" sheetId="7" r:id="rId5"/>
    <sheet name="Skills" sheetId="8" r:id="rId6"/>
    <sheet name="Equipment" sheetId="9" r:id="rId7"/>
    <sheet name="Ledger" sheetId="5" r:id="rId8"/>
    <sheet name="Notes" sheetId="3" r:id="rId9"/>
    <sheet name="Tables" sheetId="4" r:id="rId10"/>
  </sheets>
  <functionGroups builtInGroupCount="18"/>
  <definedNames>
    <definedName name="die" localSheetId="9">Tables!$J$24:$M$123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9" i="5" l="1"/>
  <c r="C15" i="2"/>
  <c r="I8" i="5"/>
  <c r="C14" i="2"/>
  <c r="I7" i="5"/>
  <c r="C13" i="2"/>
  <c r="I6" i="5"/>
  <c r="C12" i="2"/>
  <c r="I5" i="5"/>
  <c r="C11" i="2"/>
  <c r="I4" i="5"/>
  <c r="I10" i="5"/>
  <c r="C10" i="2"/>
  <c r="E10" i="2"/>
  <c r="E11" i="2"/>
  <c r="E12" i="2"/>
  <c r="E13" i="2"/>
  <c r="E14" i="2"/>
  <c r="E15" i="2"/>
  <c r="C7" i="11"/>
  <c r="C12" i="11"/>
  <c r="C11" i="11"/>
  <c r="C10" i="11"/>
  <c r="C9" i="11"/>
  <c r="C8" i="11"/>
  <c r="I13" i="5"/>
  <c r="H16" i="5"/>
  <c r="I16" i="5"/>
  <c r="I15" i="5"/>
  <c r="H15" i="5"/>
  <c r="I11" i="5"/>
  <c r="H11" i="5"/>
  <c r="I19" i="5"/>
  <c r="B5" i="7"/>
  <c r="H19" i="5"/>
  <c r="D5" i="7"/>
  <c r="B4" i="9"/>
  <c r="D4" i="7"/>
  <c r="H18" i="5"/>
  <c r="H17" i="5"/>
  <c r="H13" i="5"/>
  <c r="H12" i="5"/>
  <c r="H10" i="5"/>
  <c r="H9" i="5"/>
  <c r="H8" i="5"/>
  <c r="H7" i="5"/>
  <c r="H6" i="5"/>
  <c r="H5" i="5"/>
  <c r="H4" i="5"/>
  <c r="H14" i="5"/>
  <c r="I18" i="5"/>
  <c r="B4" i="7"/>
  <c r="I17" i="5"/>
  <c r="B4" i="8"/>
  <c r="C4" i="8"/>
  <c r="C5" i="7"/>
  <c r="I5" i="7"/>
  <c r="C4" i="7"/>
  <c r="C4" i="9"/>
  <c r="I4" i="7"/>
  <c r="K4" i="7"/>
  <c r="I14" i="5"/>
  <c r="I12" i="5"/>
  <c r="C7" i="2"/>
  <c r="K5" i="7"/>
  <c r="J4" i="7"/>
  <c r="J5" i="7"/>
  <c r="C6" i="2"/>
  <c r="E5" i="7"/>
  <c r="H5" i="7"/>
  <c r="E4" i="7"/>
  <c r="F5" i="7"/>
  <c r="G4" i="7"/>
  <c r="G5" i="7"/>
  <c r="F4" i="7"/>
  <c r="H4" i="7"/>
</calcChain>
</file>

<file path=xl/connections.xml><?xml version="1.0" encoding="utf-8"?>
<connections xmlns="http://schemas.openxmlformats.org/spreadsheetml/2006/main">
  <connection id="1" name="die" type="6" refreshedVersion="4" background="1" saveData="1">
    <textPr codePage="1257" sourceFile="C:\Users\Gregory_Althaus\Documents\die.csv" comma="1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<sst xmlns="http://schemas.openxmlformats.org/spreadsheetml/2006/main" count="528" uniqueCount="401">
  <si>
    <t>Magic</t>
  </si>
  <si>
    <t>Skill</t>
  </si>
  <si>
    <t>Type</t>
  </si>
  <si>
    <t>Name</t>
  </si>
  <si>
    <t>Race</t>
  </si>
  <si>
    <t>Magic Type</t>
  </si>
  <si>
    <t>Talent</t>
  </si>
  <si>
    <t>Mentalist</t>
  </si>
  <si>
    <t>Wizard</t>
  </si>
  <si>
    <t>Hide</t>
  </si>
  <si>
    <t>Date</t>
  </si>
  <si>
    <t>Action</t>
  </si>
  <si>
    <t>Attributes</t>
  </si>
  <si>
    <t>Sub-Type</t>
  </si>
  <si>
    <t>Value</t>
  </si>
  <si>
    <t>Notes</t>
  </si>
  <si>
    <t>SP Cost</t>
  </si>
  <si>
    <t>In Time View?</t>
  </si>
  <si>
    <t>Buy</t>
  </si>
  <si>
    <t>Strength</t>
  </si>
  <si>
    <t>Dexterity</t>
  </si>
  <si>
    <t>Willpower</t>
  </si>
  <si>
    <t>Intelligence</t>
  </si>
  <si>
    <t>Cost</t>
  </si>
  <si>
    <t>Actions</t>
  </si>
  <si>
    <t>Cory</t>
  </si>
  <si>
    <t>Attribute</t>
  </si>
  <si>
    <t>Class</t>
  </si>
  <si>
    <t>StrMin</t>
  </si>
  <si>
    <t>StrMax</t>
  </si>
  <si>
    <t>IntMin</t>
  </si>
  <si>
    <t>IntMax</t>
  </si>
  <si>
    <t>WilMin</t>
  </si>
  <si>
    <t>WilMax</t>
  </si>
  <si>
    <t>EndMin</t>
  </si>
  <si>
    <t>EndMax</t>
  </si>
  <si>
    <t>DexMin</t>
  </si>
  <si>
    <t>DexMax</t>
  </si>
  <si>
    <t>AgiMin</t>
  </si>
  <si>
    <t>AgiMax</t>
  </si>
  <si>
    <t>AppMin</t>
  </si>
  <si>
    <t>AppMax</t>
  </si>
  <si>
    <t>Dwarf</t>
  </si>
  <si>
    <t>Human</t>
  </si>
  <si>
    <t>Elf</t>
  </si>
  <si>
    <t>Level 1</t>
  </si>
  <si>
    <t>Level 2</t>
  </si>
  <si>
    <t>Min</t>
  </si>
  <si>
    <t>Max</t>
  </si>
  <si>
    <t>DP</t>
  </si>
  <si>
    <t>Level</t>
  </si>
  <si>
    <t>SubTypes</t>
  </si>
  <si>
    <t>Weapon</t>
  </si>
  <si>
    <t>Weapons</t>
  </si>
  <si>
    <t>Damage</t>
  </si>
  <si>
    <t>BAD</t>
  </si>
  <si>
    <t>FT</t>
  </si>
  <si>
    <t>Melee</t>
  </si>
  <si>
    <t>Longbow</t>
  </si>
  <si>
    <t>Ranged</t>
  </si>
  <si>
    <t>Skills</t>
  </si>
  <si>
    <t>Ledger</t>
  </si>
  <si>
    <t>Spend</t>
  </si>
  <si>
    <t>Free Form</t>
  </si>
  <si>
    <t>Fire</t>
  </si>
  <si>
    <t>Level 2 Spend</t>
  </si>
  <si>
    <t>Lockpick</t>
  </si>
  <si>
    <t>Longsword</t>
  </si>
  <si>
    <t>Dam</t>
  </si>
  <si>
    <t>Raw Dam</t>
  </si>
  <si>
    <t>Spent</t>
  </si>
  <si>
    <t>BAD Prof</t>
  </si>
  <si>
    <t xml:space="preserve"> </t>
  </si>
  <si>
    <t>AttSpend</t>
  </si>
  <si>
    <t>BAD Die</t>
  </si>
  <si>
    <t>Narrow</t>
  </si>
  <si>
    <t>Middle</t>
  </si>
  <si>
    <t>Wide</t>
  </si>
  <si>
    <t>Casting</t>
  </si>
  <si>
    <t>Recovery</t>
  </si>
  <si>
    <t>Dice Aver</t>
  </si>
  <si>
    <t>1d4+1</t>
  </si>
  <si>
    <t>1d6</t>
  </si>
  <si>
    <t>1d4+2</t>
  </si>
  <si>
    <t>1d8</t>
  </si>
  <si>
    <t>1d10</t>
  </si>
  <si>
    <t>1d12</t>
  </si>
  <si>
    <t>1d20</t>
  </si>
  <si>
    <t>1d6+1</t>
  </si>
  <si>
    <t>1d8+1</t>
  </si>
  <si>
    <t>1d6+2</t>
  </si>
  <si>
    <t>2d4-1</t>
  </si>
  <si>
    <t>1d10+1</t>
  </si>
  <si>
    <t>1d12+1</t>
  </si>
  <si>
    <t>Static Amt</t>
  </si>
  <si>
    <t>1d6+3</t>
  </si>
  <si>
    <t>1d8+3</t>
  </si>
  <si>
    <t>1d8+4</t>
  </si>
  <si>
    <t>1d10+4</t>
  </si>
  <si>
    <t>1d4+1d6-1</t>
  </si>
  <si>
    <t>1d4+1d6</t>
  </si>
  <si>
    <t>1d4+1d8-1</t>
  </si>
  <si>
    <t>1d4+1d6+1</t>
  </si>
  <si>
    <t>1d4+1d8</t>
  </si>
  <si>
    <t>1d4+1d10-1</t>
  </si>
  <si>
    <t>2d4+1d8-2</t>
  </si>
  <si>
    <t>1d4+1d6+2</t>
  </si>
  <si>
    <t>1d4+1d8+1</t>
  </si>
  <si>
    <t>1d4+1d12-1</t>
  </si>
  <si>
    <t>1d12+2</t>
  </si>
  <si>
    <t>2d4+1d10-2</t>
  </si>
  <si>
    <t>1d4+1d6+3</t>
  </si>
  <si>
    <t>1d4+1d10+1</t>
  </si>
  <si>
    <t>1d6+1d12-1</t>
  </si>
  <si>
    <t>2d4+1d8</t>
  </si>
  <si>
    <t>2d4+1d12-2</t>
  </si>
  <si>
    <t>1d4+1d6+4</t>
  </si>
  <si>
    <t>1d4+1d12+1</t>
  </si>
  <si>
    <t>1d8+1d12-1</t>
  </si>
  <si>
    <t>1d10+5</t>
  </si>
  <si>
    <t>2d4+1d10</t>
  </si>
  <si>
    <t>1d4+1d8+4</t>
  </si>
  <si>
    <t>1d6+1d12+1</t>
  </si>
  <si>
    <t>1d10+1d12-1</t>
  </si>
  <si>
    <t>1d12+5</t>
  </si>
  <si>
    <t>2d4+1d12</t>
  </si>
  <si>
    <t>1d4+1d8+1d12-2</t>
  </si>
  <si>
    <t>1d4+1d8+5</t>
  </si>
  <si>
    <t>1d6+1d12+2</t>
  </si>
  <si>
    <t>1d4+1d20-1</t>
  </si>
  <si>
    <t>1d12+6</t>
  </si>
  <si>
    <t>2d4+1d12+1</t>
  </si>
  <si>
    <t>1d4+1d10+1d12-2</t>
  </si>
  <si>
    <t>1d4+1d10+5</t>
  </si>
  <si>
    <t>1d8+1d12+2</t>
  </si>
  <si>
    <t>1d6+1d20-1</t>
  </si>
  <si>
    <t>2d4+1d8+4</t>
  </si>
  <si>
    <t>1d20+3</t>
  </si>
  <si>
    <t>2d4+1d20-2</t>
  </si>
  <si>
    <t>1d4+1d10+6</t>
  </si>
  <si>
    <t>1d10+1d12+2</t>
  </si>
  <si>
    <t>1d8+1d20-1</t>
  </si>
  <si>
    <t>2d4+1d8+5</t>
  </si>
  <si>
    <t>1d4+1d8+1d12+1</t>
  </si>
  <si>
    <t>1d4+1d6+1d20-2</t>
  </si>
  <si>
    <t>1d4+1d12+6</t>
  </si>
  <si>
    <t>1d4+1d20+2</t>
  </si>
  <si>
    <t>1d10+1d20-1</t>
  </si>
  <si>
    <t>2d4+1d10+5</t>
  </si>
  <si>
    <t>1d4+1d10+1d12+1</t>
  </si>
  <si>
    <t>1d4+1d8+1d20-2</t>
  </si>
  <si>
    <t>1d4+1d12+7</t>
  </si>
  <si>
    <t>1d4+1d20+3</t>
  </si>
  <si>
    <t>1d12+1d20-1</t>
  </si>
  <si>
    <t>2d4+1d10+6</t>
  </si>
  <si>
    <t>1d4+1d10+1d12+2</t>
  </si>
  <si>
    <t>1d4+1d10+1d20-2</t>
  </si>
  <si>
    <t>1d6+1d12+7</t>
  </si>
  <si>
    <t>1d6+1d20+3</t>
  </si>
  <si>
    <t>2d4+1d8+1d20-3</t>
  </si>
  <si>
    <t>2d4+1d12+6</t>
  </si>
  <si>
    <t>2d4+1d20+2</t>
  </si>
  <si>
    <t>1d4+1d12+1d20-2</t>
  </si>
  <si>
    <t>1d6+1d12+8</t>
  </si>
  <si>
    <t>1d8+1d20+3</t>
  </si>
  <si>
    <t>2d4+1d10+1d20-3</t>
  </si>
  <si>
    <t>2d4+1d12+7</t>
  </si>
  <si>
    <t>1d4+1d6+1d20+2</t>
  </si>
  <si>
    <t>1d6+1d12+1d20-2</t>
  </si>
  <si>
    <t>1d8+1d12+8</t>
  </si>
  <si>
    <t>1d10+1d20+3</t>
  </si>
  <si>
    <t>2d4+1d12+1d20-3</t>
  </si>
  <si>
    <t>1d20+9</t>
  </si>
  <si>
    <t>1d4+1d8+1d20+2</t>
  </si>
  <si>
    <t>1d8+1d12+1d20-2</t>
  </si>
  <si>
    <t>1d8+1d12+9</t>
  </si>
  <si>
    <t>1d10+1d20+4</t>
  </si>
  <si>
    <t>2d20-1</t>
  </si>
  <si>
    <t>1d20+10</t>
  </si>
  <si>
    <t>1d4+1d8+1d20+3</t>
  </si>
  <si>
    <t>1d10+1d12+1d20-2</t>
  </si>
  <si>
    <t>1d10+1d12+9</t>
  </si>
  <si>
    <t>1d12+1d20+4</t>
  </si>
  <si>
    <t>1d4+1d8+1d12+1d20-3</t>
  </si>
  <si>
    <t>1d4+1d8+1d12+8</t>
  </si>
  <si>
    <t>1d4+1d10+1d20+3</t>
  </si>
  <si>
    <t>1d4+2d20-2</t>
  </si>
  <si>
    <t>1d10+1d12+10</t>
  </si>
  <si>
    <t>2d4+1d8+1d20+2</t>
  </si>
  <si>
    <t>1d4+1d10+1d12+1d20-3</t>
  </si>
  <si>
    <t>1d4+1d8+1d12+9</t>
  </si>
  <si>
    <t>1d4+1d12+1d20+3</t>
  </si>
  <si>
    <t>1d6+2d20-2</t>
  </si>
  <si>
    <t>1d4+1d20+10</t>
  </si>
  <si>
    <t>2d4+1d10+1d20+2</t>
  </si>
  <si>
    <t>2d4+2d20-3</t>
  </si>
  <si>
    <t>1d4+1d10+1d12+9</t>
  </si>
  <si>
    <t>1d6+1d12+1d20+3</t>
  </si>
  <si>
    <t>1d8+2d20-2</t>
  </si>
  <si>
    <t>1d4+1d20+11</t>
  </si>
  <si>
    <t>2d4+1d10+1d20+3</t>
  </si>
  <si>
    <t>1d4+1d6+2d20-3</t>
  </si>
  <si>
    <t>1d4+1d10+1d12+10</t>
  </si>
  <si>
    <t>1d6+1d12+1d20+4</t>
  </si>
  <si>
    <t>1d10+2d20-2</t>
  </si>
  <si>
    <t>1d6+1d20+11</t>
  </si>
  <si>
    <t>2d4+1d12+1d20+3</t>
  </si>
  <si>
    <t>1d4+1d8+2d20-3</t>
  </si>
  <si>
    <t>2d4+1d20+10</t>
  </si>
  <si>
    <t>1d8+1d12+1d20+4</t>
  </si>
  <si>
    <t>1d12+2d20-2</t>
  </si>
  <si>
    <t>1d6+1d20+12</t>
  </si>
  <si>
    <t>2d20+5</t>
  </si>
  <si>
    <t>1d4+1d10+2d20-3</t>
  </si>
  <si>
    <t>2d4+1d20+11</t>
  </si>
  <si>
    <t>1d10+1d12+1d20+4</t>
  </si>
  <si>
    <t>2d4+1d8+2d20-4</t>
  </si>
  <si>
    <t>1d8+1d20+12</t>
  </si>
  <si>
    <t>1d4+1d8+1d12+1d20+3</t>
  </si>
  <si>
    <t>1d4+1d12+2d20-3</t>
  </si>
  <si>
    <t>1d4+1d6+1d20+11</t>
  </si>
  <si>
    <t>1d4+2d20+4</t>
  </si>
  <si>
    <t>2d4+1d10+2d20-4</t>
  </si>
  <si>
    <t>1d8+1d20+13</t>
  </si>
  <si>
    <t>1d4+1d8+1d12+1d20+4</t>
  </si>
  <si>
    <t>1d6+1d12+2d20-3</t>
  </si>
  <si>
    <t>1d4+1d6+1d20+12</t>
  </si>
  <si>
    <t>1d4+2d20+5</t>
  </si>
  <si>
    <t>2d4+1d12+2d20-4</t>
  </si>
  <si>
    <t>1d10+1d20+13</t>
  </si>
  <si>
    <t>1d4+1d10+1d12+1d20+4</t>
  </si>
  <si>
    <t>1d8+1d12+2d20-3</t>
  </si>
  <si>
    <t>1d4+1d8+1d20+12</t>
  </si>
  <si>
    <t>1d6+2d20+5</t>
  </si>
  <si>
    <t>3d20-2</t>
  </si>
  <si>
    <t>1d10+1d20+14</t>
  </si>
  <si>
    <t>2d4+2d20+4</t>
  </si>
  <si>
    <t>1d10+1d12+2d20-3</t>
  </si>
  <si>
    <t>1d4+1d8+1d20+13</t>
  </si>
  <si>
    <t>1d8+2d20+5</t>
  </si>
  <si>
    <t>1d4+1d8+1d12+2d20-4</t>
  </si>
  <si>
    <t>1d12+1d20+14</t>
  </si>
  <si>
    <t>1d4+1d6+2d20+4</t>
  </si>
  <si>
    <t>1d4+3d20-3</t>
  </si>
  <si>
    <t>1d4+1d10+1d20+13</t>
  </si>
  <si>
    <t>1d10+2d20+5</t>
  </si>
  <si>
    <t>1d4+1d10+1d12+2d20-4</t>
  </si>
  <si>
    <t>1d12+1d20+15</t>
  </si>
  <si>
    <t>1d4+1d6+2d20+5</t>
  </si>
  <si>
    <t>1d6+3d20-3</t>
  </si>
  <si>
    <t>1d4+1d10+1d20+14</t>
  </si>
  <si>
    <t>1d10+2d20+6</t>
  </si>
  <si>
    <t>2d4+3d20-4</t>
  </si>
  <si>
    <t>2d4+1d8+1d20+13</t>
  </si>
  <si>
    <t>1d4+1d8+2d20+5</t>
  </si>
  <si>
    <t>1d8+3d20-3</t>
  </si>
  <si>
    <t>1d4+1d12+1d20+14</t>
  </si>
  <si>
    <t>1d12+2d20+6</t>
  </si>
  <si>
    <t>1d4+1d6+3d20-4</t>
  </si>
  <si>
    <t>2d4+1d8+1d20+14</t>
  </si>
  <si>
    <t>1d4+1d10+2d20+5</t>
  </si>
  <si>
    <t>1d10+3d20-3</t>
  </si>
  <si>
    <t>1d4+1d12+1d20+15</t>
  </si>
  <si>
    <t>2d4+1d8+2d20+4</t>
  </si>
  <si>
    <t>1d4+1d8+3d20-4</t>
  </si>
  <si>
    <t>2d4+1d10+1d20+14</t>
  </si>
  <si>
    <t>1d4+1d12+2d20+5</t>
  </si>
  <si>
    <t>1d12+3d20-3</t>
  </si>
  <si>
    <t>1d6+1d12+1d20+15</t>
  </si>
  <si>
    <t>2d4+1d10+2d20+4</t>
  </si>
  <si>
    <t>1d4+1d10+3d20-4</t>
  </si>
  <si>
    <t>2d4+1d10+1d20+15</t>
  </si>
  <si>
    <t>1d4+1d12+2d20+6</t>
  </si>
  <si>
    <t>2d4+1d8+3d20-5</t>
  </si>
  <si>
    <t>1d6+1d12+1d20+16</t>
  </si>
  <si>
    <t>2d4+1d10+2d20+5</t>
  </si>
  <si>
    <t>1d4+1d12+3d20-4</t>
  </si>
  <si>
    <t>2d4+1d12+1d20+15</t>
  </si>
  <si>
    <t>1d6+1d12+2d20+6</t>
  </si>
  <si>
    <t>2d4+1d10+3d20-5</t>
  </si>
  <si>
    <t>1d8+1d12+1d20+16</t>
  </si>
  <si>
    <t>2d4+1d12+2d20+5</t>
  </si>
  <si>
    <t>1d6+1d12+3d20-4</t>
  </si>
  <si>
    <t>2d4+1d12+1d20+16</t>
  </si>
  <si>
    <t>1d8+1d12+2d20+6</t>
  </si>
  <si>
    <t>2d4+1d12+3d20-5</t>
  </si>
  <si>
    <t>1d8+1d12+1d20+17</t>
  </si>
  <si>
    <t>3d20+7</t>
  </si>
  <si>
    <t>1d8+1d12+3d20-4</t>
  </si>
  <si>
    <t>2d20+18</t>
  </si>
  <si>
    <t>1d10+1d12+2d20+6</t>
  </si>
  <si>
    <t>4d20-3</t>
  </si>
  <si>
    <t>1d10+1d12+1d20+17</t>
  </si>
  <si>
    <t>1d4+1d8+1d12+2d20+5</t>
  </si>
  <si>
    <t>1d10+1d12+3d20-4</t>
  </si>
  <si>
    <t>2d20+19</t>
  </si>
  <si>
    <t>1d10+1d12+2d20+7</t>
  </si>
  <si>
    <t>1d4+1d8+1d12+3d20-5</t>
  </si>
  <si>
    <t>1d10+1d12+1d20+18</t>
  </si>
  <si>
    <t>1d4+1d8+1d12+2d20+6</t>
  </si>
  <si>
    <t>1d4+4d20-4</t>
  </si>
  <si>
    <t>1d4+1d8+1d12+1d20+17</t>
  </si>
  <si>
    <t>1d4+3d20+7</t>
  </si>
  <si>
    <t>1d4+1d10+1d12+3d20-5</t>
  </si>
  <si>
    <t>1d4+2d20+18</t>
  </si>
  <si>
    <t>1d4+1d10+1d12+2d20+6</t>
  </si>
  <si>
    <t>1d6+4d20-4</t>
  </si>
  <si>
    <t>1d4+1d8+1d12+1d20+18</t>
  </si>
  <si>
    <t>1d6+3d20+7</t>
  </si>
  <si>
    <t>2d4+4d20-5</t>
  </si>
  <si>
    <t>1d4+2d20+19</t>
  </si>
  <si>
    <t>2d4+3d20+6</t>
  </si>
  <si>
    <t>1d8+4d20-4</t>
  </si>
  <si>
    <t>1d4+1d10+1d12+1d20+18</t>
  </si>
  <si>
    <t>1d8+3d20+7</t>
  </si>
  <si>
    <t>1d4+1d6+4d20-5</t>
  </si>
  <si>
    <t>1d6+2d20+19</t>
  </si>
  <si>
    <t>1d4+1d6+3d20+6</t>
  </si>
  <si>
    <t>1d10+4d20-4</t>
  </si>
  <si>
    <t>1d4+1d10+1d12+1d20+19</t>
  </si>
  <si>
    <t>1d8+3d20+8</t>
  </si>
  <si>
    <t>1d4+1d8+4d20-5</t>
  </si>
  <si>
    <t>1d6+2d20+20</t>
  </si>
  <si>
    <t>1d4+1d6+3d20+7</t>
  </si>
  <si>
    <t>1d12+4d20-4</t>
  </si>
  <si>
    <t>2d4+2d20+19</t>
  </si>
  <si>
    <t>1d10+3d20+8</t>
  </si>
  <si>
    <t>1d4+1d10+4d20-5</t>
  </si>
  <si>
    <t>1d8+2d20+20</t>
  </si>
  <si>
    <t>1d4+1d8+3d20+7</t>
  </si>
  <si>
    <t>2d4+1d8+4d20-6</t>
  </si>
  <si>
    <t>2d4+2d20+20</t>
  </si>
  <si>
    <t>1d12+3d20+8</t>
  </si>
  <si>
    <t>1d4+1d12+4d20-5</t>
  </si>
  <si>
    <t>1d8+2d20+21</t>
  </si>
  <si>
    <t>1d4+1d10+3d20+7</t>
  </si>
  <si>
    <t>2d4+1d10+4d20-6</t>
  </si>
  <si>
    <t>1d4+1d6+2d20+20</t>
  </si>
  <si>
    <t>2d4+1d8+3d20+6</t>
  </si>
  <si>
    <t>1d6+1d12+4d20-5</t>
  </si>
  <si>
    <t>1d10+2d20+21</t>
  </si>
  <si>
    <t>1d4+1d12+3d20+7</t>
  </si>
  <si>
    <t>2d4+1d12+4d20-6</t>
  </si>
  <si>
    <t>1d4+1d6+2d20+21</t>
  </si>
  <si>
    <t>2d4+1d8+3d20+7</t>
  </si>
  <si>
    <t>1d8+1d12+4d20-5</t>
  </si>
  <si>
    <t>1d10+2d20+22</t>
  </si>
  <si>
    <t>1d4+1d12+3d20+8</t>
  </si>
  <si>
    <t>5d20-4</t>
  </si>
  <si>
    <t>1d4+1d8+2d20+21</t>
  </si>
  <si>
    <t>2d4+1d10+3d20+7</t>
  </si>
  <si>
    <t>1d10+1d12+4d20-5</t>
  </si>
  <si>
    <t>1d12+2d20+22</t>
  </si>
  <si>
    <t>1d6+1d12+3d20+8</t>
  </si>
  <si>
    <t>1d4+1d8+1d12+4d20-6</t>
  </si>
  <si>
    <t>1d4+1d8+2d20+22</t>
  </si>
  <si>
    <t>2d4+1d12+3d20+7</t>
  </si>
  <si>
    <t>1d4+5d20-5</t>
  </si>
  <si>
    <t>1d12+2d20+23</t>
  </si>
  <si>
    <t>1d8+1d12+3d20+8</t>
  </si>
  <si>
    <t>1d4+1d10+1d12+4d20-6</t>
  </si>
  <si>
    <t>1d4+1d10+2d20+22</t>
  </si>
  <si>
    <t>4d20+9</t>
  </si>
  <si>
    <t>1d6+5d20-5</t>
  </si>
  <si>
    <t>2d4+1d8+2d20+21</t>
  </si>
  <si>
    <t>1d10+1d12+3d20+8</t>
  </si>
  <si>
    <t>2d4+5d20-6</t>
  </si>
  <si>
    <t>1d4+1d10+2d20+23</t>
  </si>
  <si>
    <t>4d20+10</t>
  </si>
  <si>
    <t>1d8+5d20-5</t>
  </si>
  <si>
    <t>2d4+1d8+2d20+22</t>
  </si>
  <si>
    <t>1d10+1d12+3d20+9</t>
  </si>
  <si>
    <t>1d4+1d6+5d20-6</t>
  </si>
  <si>
    <t>1d4+1d12+2d20+23</t>
  </si>
  <si>
    <t>1d4+1d8+1d12+3d20+8</t>
  </si>
  <si>
    <t>1d10+5d20-5</t>
  </si>
  <si>
    <t>Total DP</t>
  </si>
  <si>
    <t>StrAve</t>
  </si>
  <si>
    <t>IntAve</t>
  </si>
  <si>
    <t>WilAve</t>
  </si>
  <si>
    <t>EndAve</t>
  </si>
  <si>
    <t>DexAve</t>
  </si>
  <si>
    <t>AgiAve</t>
  </si>
  <si>
    <t>AppAve</t>
  </si>
  <si>
    <t>MF</t>
  </si>
  <si>
    <t>Metamorphic Dwarf</t>
  </si>
  <si>
    <t>Dark Elves</t>
  </si>
  <si>
    <t>Hafling</t>
  </si>
  <si>
    <t>Gnome</t>
  </si>
  <si>
    <t>Demon Hafling</t>
  </si>
  <si>
    <t>Equipment</t>
  </si>
  <si>
    <t>Player</t>
  </si>
  <si>
    <t>Greg</t>
  </si>
  <si>
    <t>Constitution</t>
  </si>
  <si>
    <t>Wisdom</t>
  </si>
  <si>
    <t>Charisma</t>
  </si>
  <si>
    <t>Ability</t>
  </si>
  <si>
    <t>Score</t>
  </si>
  <si>
    <t>Adjustment</t>
  </si>
  <si>
    <t>Modifer</t>
  </si>
  <si>
    <t>Initial Role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</si>
</sst>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9.9948118533890809E-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 applyBorder="1"/>
    <xf numFmtId="0" fontId="0" fillId="0" borderId="0" xfId="0" applyBorder="1"/>
    <xf numFmtId="14" fontId="0" fillId="3" borderId="1" xfId="0" applyNumberFormat="1" applyFill="1" applyBorder="1"/>
    <xf numFmtId="0" fontId="0" fillId="3" borderId="1" xfId="0" applyFill="1" applyBorder="1"/>
    <xf numFmtId="0" fontId="0" fillId="4" borderId="0" xfId="0" applyFill="1"/>
    <xf numFmtId="0" fontId="0" fillId="5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1" fillId="0" borderId="0" xfId="0" applyFont="1"/>
    <xf numFmtId="0" fontId="0" fillId="2" borderId="9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3" borderId="0" xfId="0" applyNumberFormat="1" applyFill="1" applyBorder="1" applyAlignment="1"/>
    <xf numFmtId="0" fontId="0" fillId="0" borderId="0" xfId="0" applyNumberFormat="1" applyBorder="1" applyAlignment="1"/>
    <xf numFmtId="0" fontId="0" fillId="2" borderId="0" xfId="0" applyFill="1" applyBorder="1" applyProtection="1">
      <protection locked="0"/>
    </xf>
    <xf numFmtId="9" fontId="0" fillId="0" borderId="0" xfId="0" applyNumberFormat="1"/>
    <xf numFmtId="10" fontId="0" fillId="0" borderId="0" xfId="0" applyNumberFormat="1"/>
    <xf numFmtId="14" fontId="0" fillId="3" borderId="11" xfId="0" applyNumberFormat="1" applyFill="1" applyBorder="1"/>
    <xf numFmtId="0" fontId="0" fillId="3" borderId="11" xfId="0" applyFill="1" applyBorder="1"/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4" fontId="0" fillId="3" borderId="7" xfId="0" applyNumberFormat="1" applyFill="1" applyBorder="1" applyAlignment="1"/>
    <xf numFmtId="14" fontId="0" fillId="3" borderId="3" xfId="0" applyNumberFormat="1" applyFill="1" applyBorder="1" applyAlignment="1"/>
    <xf numFmtId="14" fontId="0" fillId="0" borderId="4" xfId="0" applyNumberFormat="1" applyBorder="1" applyAlignment="1"/>
    <xf numFmtId="14" fontId="0" fillId="3" borderId="6" xfId="0" applyNumberFormat="1" applyFill="1" applyBorder="1" applyAlignment="1"/>
    <xf numFmtId="14" fontId="0" fillId="0" borderId="6" xfId="0" applyNumberFormat="1" applyBorder="1" applyAlignment="1"/>
    <xf numFmtId="0" fontId="0" fillId="6" borderId="8" xfId="0" applyFill="1" applyBorder="1" applyAlignment="1"/>
    <xf numFmtId="0" fontId="0" fillId="6" borderId="7" xfId="0" applyFill="1" applyBorder="1" applyAlignment="1"/>
    <xf numFmtId="14" fontId="0" fillId="3" borderId="4" xfId="0" applyNumberFormat="1" applyFill="1" applyBorder="1" applyAlignment="1"/>
    <xf numFmtId="14" fontId="0" fillId="0" borderId="12" xfId="0" applyNumberFormat="1" applyBorder="1" applyAlignment="1"/>
    <xf numFmtId="14" fontId="0" fillId="0" borderId="13" xfId="0" applyNumberFormat="1" applyBorder="1" applyAlignment="1"/>
    <xf numFmtId="0" fontId="0" fillId="0" borderId="13" xfId="0" applyBorder="1" applyAlignment="1"/>
    <xf numFmtId="0" fontId="0" fillId="0" borderId="14" xfId="0" applyBorder="1" applyAlignment="1"/>
    <xf numFmtId="0" fontId="0" fillId="0" borderId="0" xfId="0" applyFill="1" applyBorder="1" applyProtection="1">
      <protection locked="0"/>
    </xf>
    <xf numFmtId="0" fontId="0" fillId="0" borderId="0" xfId="0" applyFill="1" applyBorder="1"/>
    <xf numFmtId="9" fontId="0" fillId="0" borderId="0" xfId="0" applyNumberFormat="1" applyFill="1" applyBorder="1"/>
    <xf numFmtId="0" fontId="0" fillId="0" borderId="0" xfId="0" applyFill="1"/>
    <xf numFmtId="0" fontId="0" fillId="3" borderId="7" xfId="0" applyNumberFormat="1" applyFill="1" applyBorder="1" applyAlignment="1"/>
    <xf numFmtId="0" fontId="0" fillId="3" borderId="8" xfId="0" applyNumberFormat="1" applyFill="1" applyBorder="1" applyAlignment="1"/>
    <xf numFmtId="0" fontId="0" fillId="6" borderId="7" xfId="0" applyNumberFormat="1" applyFill="1" applyBorder="1"/>
    <xf numFmtId="0" fontId="0" fillId="2" borderId="10" xfId="0" applyFill="1" applyBorder="1"/>
    <xf numFmtId="0" fontId="0" fillId="2" borderId="4" xfId="0" applyFill="1" applyBorder="1"/>
  </cellXfs>
  <cellStyles count="1">
    <cellStyle name="Normal" xfId="0" builtinId="0"/>
  </cellStyles>
  <dxfs count="1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144780</xdr:rowOff>
    </xdr:from>
    <xdr:to>
      <xdr:col>9</xdr:col>
      <xdr:colOff>228600</xdr:colOff>
      <xdr:row>31</xdr:row>
      <xdr:rowOff>83820</xdr:rowOff>
    </xdr:to>
    <xdr:sp macro="" textlink="">
      <xdr:nvSpPr>
        <xdr:cNvPr id="2" name="TextBox 1"/>
        <xdr:cNvSpPr txBox="1"/>
      </xdr:nvSpPr>
      <xdr:spPr>
        <a:xfrm>
          <a:off x="342900" y="327660"/>
          <a:ext cx="5372100" cy="54254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Revision - I'll keep this until it gets really annoying and just use git.</a:t>
          </a:r>
        </a:p>
        <a:p>
          <a:endParaRPr lang="en-US" sz="1100" baseline="0"/>
        </a:p>
        <a:p>
          <a:r>
            <a:rPr lang="en-US" sz="1100" baseline="0"/>
            <a:t>000 - initial version based on the ww_char_05</a:t>
          </a:r>
        </a:p>
        <a:p>
          <a:r>
            <a:rPr lang="en-US" sz="1100" baseline="0"/>
            <a:t>          includes additional updates wwws.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144780</xdr:rowOff>
    </xdr:from>
    <xdr:to>
      <xdr:col>9</xdr:col>
      <xdr:colOff>228600</xdr:colOff>
      <xdr:row>31</xdr:row>
      <xdr:rowOff>83820</xdr:rowOff>
    </xdr:to>
    <xdr:sp macro="" textlink="">
      <xdr:nvSpPr>
        <xdr:cNvPr id="2" name="TextBox 1"/>
        <xdr:cNvSpPr txBox="1"/>
      </xdr:nvSpPr>
      <xdr:spPr>
        <a:xfrm>
          <a:off x="342900" y="327660"/>
          <a:ext cx="5372100" cy="54254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Notes:</a:t>
          </a:r>
        </a:p>
        <a:p>
          <a:r>
            <a:rPr lang="en-US" sz="1100"/>
            <a:t>Alt-F11</a:t>
          </a:r>
          <a:r>
            <a:rPr lang="en-US" sz="1100" baseline="0"/>
            <a:t> to open the function that keeps the date in sync across the pages.</a:t>
          </a:r>
          <a:endParaRPr lang="en-US" sz="1100"/>
        </a:p>
        <a:p>
          <a:endParaRPr lang="en-US" sz="1100"/>
        </a:p>
        <a:p>
          <a:r>
            <a:rPr lang="en-US" sz="1100"/>
            <a:t>QUESTIONS:</a:t>
          </a:r>
        </a:p>
        <a:p>
          <a:endParaRPr lang="en-US" sz="1100"/>
        </a:p>
        <a:p>
          <a:endParaRPr lang="en-US" sz="1100"/>
        </a:p>
        <a:p>
          <a:r>
            <a:rPr lang="en-US" sz="1100"/>
            <a:t>TODO:</a:t>
          </a:r>
        </a:p>
        <a:p>
          <a:endParaRPr lang="en-US" sz="1100"/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449580</xdr:colOff>
      <xdr:row>1</xdr:row>
      <xdr:rowOff>53340</xdr:rowOff>
    </xdr:from>
    <xdr:ext cx="8717280" cy="2847959"/>
    <xdr:sp macro="" textlink="">
      <xdr:nvSpPr>
        <xdr:cNvPr id="2" name="TextBox 1"/>
        <xdr:cNvSpPr txBox="1"/>
      </xdr:nvSpPr>
      <xdr:spPr>
        <a:xfrm>
          <a:off x="449580" y="236220"/>
          <a:ext cx="8717280" cy="2847959"/>
        </a:xfrm>
        <a:prstGeom prst="rect">
          <a:avLst/>
        </a:prstGeom>
        <a:solidFill>
          <a:schemeClr val="bg2"/>
        </a:solidFill>
        <a:ln>
          <a:solidFill>
            <a:schemeClr val="tx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Notes go here.</a:t>
          </a:r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  <a:p>
          <a:endParaRPr lang="en-US" sz="1100"/>
        </a:p>
      </xdr:txBody>
    </xdr:sp>
    <xdr:clientData/>
  </xdr:oneCellAnchor>
</xdr:wsDr>
</file>

<file path=xl/queryTables/queryTable1.xml><?xml version="1.0" encoding="utf-8"?>
<queryTable xmlns="http://schemas.openxmlformats.org/spreadsheetml/2006/main" name="die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A2" sqref="A2"/>
    </sheetView>
  </sheetViews>
  <sheetFormatPr defaultColWidth="8.85546875" defaultRowHeight="15" x14ac:dyDescent="0.25"/>
  <sheetData/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A2" sqref="A2"/>
    </sheetView>
  </sheetViews>
  <sheetFormatPr defaultColWidth="8.85546875" defaultRowHeight="15" x14ac:dyDescent="0.25"/>
  <sheetData/>
  <pageMargins left="0.7" right="0.7" top="0.75" bottom="0.75" header="0.3" footer="0.3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H12"/>
  <sheetViews>
    <sheetView workbookViewId="0">
      <selection activeCell="C4" sqref="C4:D4"/>
    </sheetView>
  </sheetViews>
  <sheetFormatPr defaultRowHeight="15" x14ac:dyDescent="0.25"/>
  <cols>
    <col min="2" max="2" width="12" customWidth="1"/>
    <col min="4" max="4" width="11.140625" customWidth="1"/>
  </cols>
  <sheetData>
    <row r="1" spans="2:8" ht="15.75" thickBot="1" x14ac:dyDescent="0.3"/>
    <row r="2" spans="2:8" ht="16.5" thickTop="1" thickBot="1" x14ac:dyDescent="0.3">
      <c r="B2" s="8" t="s">
        <v>10</v>
      </c>
      <c r="C2" s="31">
        <v>41558</v>
      </c>
      <c r="D2" s="32"/>
      <c r="F2" s="9" t="s">
        <v>391</v>
      </c>
      <c r="G2" s="33" t="s">
        <v>392</v>
      </c>
      <c r="H2" s="34"/>
    </row>
    <row r="3" spans="2:8" ht="16.5" thickTop="1" thickBot="1" x14ac:dyDescent="0.3"/>
    <row r="4" spans="2:8" ht="15.75" thickTop="1" x14ac:dyDescent="0.25">
      <c r="B4" s="9" t="s">
        <v>3</v>
      </c>
      <c r="C4" s="33" t="s">
        <v>25</v>
      </c>
      <c r="D4" s="34"/>
    </row>
    <row r="6" spans="2:8" ht="15.75" thickBot="1" x14ac:dyDescent="0.3">
      <c r="B6" t="s">
        <v>396</v>
      </c>
      <c r="C6" t="s">
        <v>397</v>
      </c>
    </row>
    <row r="7" spans="2:8" ht="15.75" thickTop="1" x14ac:dyDescent="0.25">
      <c r="B7" s="9" t="s">
        <v>19</v>
      </c>
      <c r="C7" s="13">
        <f>SUMIFS(Ledger!$F$4:$F$10059,Ledger!$B$4:$B$10059,"Buy",Ledger!$D$4:$D$10059,B7,Ledger!$I$4:$I$10059, 1)+SUMIFS(Ledger!$F$4:$F$10059,Ledger!$B$4:$B$10059,"Level",Ledger!$C$4:$C$10059,"Attribute",Ledger!$D$4:$D$10059,B7,Ledger!$I$4:$I$10059, 1)+D7</f>
        <v>16</v>
      </c>
    </row>
    <row r="8" spans="2:8" x14ac:dyDescent="0.25">
      <c r="B8" s="10" t="s">
        <v>20</v>
      </c>
      <c r="C8" s="14">
        <f>SUMIFS(Ledger!$F$4:$F$10059,Ledger!$B$4:$B$10059,"Buy",Ledger!$D$4:$D$10059,B8,Ledger!$I$4:$I$10059, 1)+SUMIFS(Ledger!$F$4:$F$10059,Ledger!$B$4:$B$10059,"Level",Ledger!$C$4:$C$10059,"Attribute",Ledger!$D$4:$D$10059,B8,Ledger!$I$4:$I$10059, 1)</f>
        <v>12</v>
      </c>
    </row>
    <row r="9" spans="2:8" x14ac:dyDescent="0.25">
      <c r="B9" s="10" t="s">
        <v>393</v>
      </c>
      <c r="C9" s="14">
        <f>SUMIFS(Ledger!$F$4:$F$10059,Ledger!$B$4:$B$10059,"Buy",Ledger!$D$4:$D$10059,B9,Ledger!$I$4:$I$10059, 1)+SUMIFS(Ledger!$F$4:$F$10059,Ledger!$B$4:$B$10059,"Level",Ledger!$C$4:$C$10059,"Attribute",Ledger!$D$4:$D$10059,B9,Ledger!$I$4:$I$10059, 1)</f>
        <v>13</v>
      </c>
    </row>
    <row r="10" spans="2:8" x14ac:dyDescent="0.25">
      <c r="B10" s="10" t="s">
        <v>22</v>
      </c>
      <c r="C10" s="14">
        <f>SUMIFS(Ledger!$F$4:$F$10059,Ledger!$B$4:$B$10059,"Buy",Ledger!$D$4:$D$10059,B10,Ledger!$I$4:$I$10059, 1)+SUMIFS(Ledger!$F$4:$F$10059,Ledger!$B$4:$B$10059,"Level",Ledger!$C$4:$C$10059,"Attribute",Ledger!$D$4:$D$10059,B10,Ledger!$I$4:$I$10059, 1)</f>
        <v>14</v>
      </c>
    </row>
    <row r="11" spans="2:8" x14ac:dyDescent="0.25">
      <c r="B11" s="10" t="s">
        <v>394</v>
      </c>
      <c r="C11" s="14">
        <f>SUMIFS(Ledger!$F$4:$F$10059,Ledger!$B$4:$B$10059,"Buy",Ledger!$D$4:$D$10059,B11,Ledger!$I$4:$I$10059, 1)+SUMIFS(Ledger!$F$4:$F$10059,Ledger!$B$4:$B$10059,"Level",Ledger!$C$4:$C$10059,"Attribute",Ledger!$D$4:$D$10059,B11,Ledger!$I$4:$I$10059, 1)</f>
        <v>15</v>
      </c>
    </row>
    <row r="12" spans="2:8" x14ac:dyDescent="0.25">
      <c r="B12" s="10" t="s">
        <v>395</v>
      </c>
      <c r="C12" s="14">
        <f>SUMIFS(Ledger!$F$4:$F$10059,Ledger!$B$4:$B$10059,"Buy",Ledger!$D$4:$D$10059,B12,Ledger!$I$4:$I$10059, 1)+SUMIFS(Ledger!$F$4:$F$10059,Ledger!$B$4:$B$10059,"Level",Ledger!$C$4:$C$10059,"Attribute",Ledger!$D$4:$D$10059,B12,Ledger!$I$4:$I$10059, 1)</f>
        <v>16</v>
      </c>
    </row>
  </sheetData>
  <mergeCells count="3">
    <mergeCell ref="C2:D2"/>
    <mergeCell ref="G2:H2"/>
    <mergeCell ref="C4:D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0"/>
  <sheetViews>
    <sheetView tabSelected="1" workbookViewId="0">
      <selection activeCell="G17" sqref="G17"/>
    </sheetView>
  </sheetViews>
  <sheetFormatPr defaultColWidth="8.85546875" defaultRowHeight="15" x14ac:dyDescent="0.25"/>
  <cols>
    <col min="2" max="2" width="11.7109375" customWidth="1"/>
    <col min="3" max="3" width="9.7109375" bestFit="1" customWidth="1"/>
    <col min="4" max="4" width="12.42578125" customWidth="1"/>
    <col min="5" max="5" width="10" customWidth="1"/>
    <col min="6" max="6" width="15" customWidth="1"/>
    <col min="13" max="13" width="13.7109375" customWidth="1"/>
  </cols>
  <sheetData>
    <row r="1" spans="1:14" ht="15.75" thickBot="1" x14ac:dyDescent="0.3"/>
    <row r="2" spans="1:14" ht="16.5" thickTop="1" thickBot="1" x14ac:dyDescent="0.3">
      <c r="A2" s="7"/>
      <c r="B2" s="8" t="s">
        <v>10</v>
      </c>
      <c r="C2" s="31">
        <v>41558</v>
      </c>
      <c r="D2" s="32"/>
      <c r="E2" s="42"/>
      <c r="F2" s="43"/>
      <c r="G2" s="43"/>
      <c r="H2" s="43"/>
      <c r="I2" s="43"/>
      <c r="J2" s="43"/>
      <c r="K2" s="43"/>
      <c r="L2" s="43"/>
      <c r="M2" s="42"/>
      <c r="N2" s="45"/>
    </row>
    <row r="3" spans="1:14" ht="16.5" thickTop="1" thickBot="1" x14ac:dyDescent="0.3">
      <c r="E3" s="43"/>
      <c r="F3" s="42"/>
      <c r="G3" s="43"/>
      <c r="H3" s="42"/>
      <c r="I3" s="42"/>
      <c r="J3" s="42"/>
      <c r="K3" s="43"/>
      <c r="L3" s="43"/>
      <c r="M3" s="42"/>
      <c r="N3" s="45"/>
    </row>
    <row r="4" spans="1:14" ht="15.75" thickTop="1" x14ac:dyDescent="0.25">
      <c r="B4" s="9" t="s">
        <v>3</v>
      </c>
      <c r="C4" s="33" t="s">
        <v>25</v>
      </c>
      <c r="D4" s="38"/>
      <c r="E4" s="43"/>
      <c r="F4" s="42"/>
      <c r="G4" s="44"/>
      <c r="H4" s="43"/>
      <c r="I4" s="43"/>
      <c r="J4" s="43"/>
      <c r="K4" s="43"/>
      <c r="L4" s="43"/>
      <c r="M4" s="42"/>
      <c r="N4" s="45"/>
    </row>
    <row r="5" spans="1:14" x14ac:dyDescent="0.25">
      <c r="B5" s="10" t="s">
        <v>4</v>
      </c>
      <c r="C5" s="30" t="s">
        <v>44</v>
      </c>
      <c r="D5" s="39"/>
      <c r="E5" s="43"/>
      <c r="F5" s="42"/>
      <c r="G5" s="44"/>
      <c r="H5" s="43"/>
      <c r="I5" s="43"/>
      <c r="J5" s="43"/>
      <c r="K5" s="43"/>
      <c r="L5" s="43"/>
      <c r="M5" s="42"/>
      <c r="N5" s="45"/>
    </row>
    <row r="6" spans="1:14" x14ac:dyDescent="0.25">
      <c r="B6" s="10" t="s">
        <v>50</v>
      </c>
      <c r="C6" s="36">
        <f>SUMIFS(Ledger!$F$4:$F$10059,Ledger!$B$4:$B$10059,"Level",Ledger!$C$4:$C$10059,"Attribute",Ledger!$I$4:$I$10059, 1)</f>
        <v>2</v>
      </c>
      <c r="D6" s="40"/>
      <c r="E6" s="43"/>
      <c r="F6" s="42"/>
      <c r="G6" s="44"/>
      <c r="H6" s="43"/>
      <c r="I6" s="43"/>
      <c r="J6" s="42"/>
      <c r="K6" s="43"/>
      <c r="L6" s="43"/>
      <c r="M6" s="42"/>
      <c r="N6" s="45"/>
    </row>
    <row r="7" spans="1:14" ht="15.75" thickBot="1" x14ac:dyDescent="0.3">
      <c r="B7" s="11" t="s">
        <v>376</v>
      </c>
      <c r="C7" s="35">
        <f>SUMIFS(Ledger!$F$4:$F$10059,Ledger!$B$4:$B$10059,"Level",Ledger!$C$4:$C$10059,"DP",Ledger!$I$4:$I$10059, 1)</f>
        <v>20000</v>
      </c>
      <c r="D7" s="41"/>
      <c r="E7" s="43"/>
      <c r="F7" s="42"/>
      <c r="G7" s="43"/>
      <c r="H7" s="43"/>
      <c r="I7" s="43"/>
      <c r="J7" s="43"/>
      <c r="K7" s="43"/>
      <c r="L7" s="43"/>
      <c r="M7" s="42"/>
      <c r="N7" s="45"/>
    </row>
    <row r="8" spans="1:14" ht="16.5" thickTop="1" thickBot="1" x14ac:dyDescent="0.3">
      <c r="C8" t="s">
        <v>72</v>
      </c>
      <c r="E8" s="43"/>
      <c r="F8" s="43"/>
      <c r="G8" s="43"/>
      <c r="H8" s="43"/>
      <c r="I8" s="43"/>
      <c r="J8" s="43"/>
      <c r="K8" s="43"/>
      <c r="L8" s="43"/>
      <c r="M8" s="42"/>
      <c r="N8" s="45"/>
    </row>
    <row r="9" spans="1:14" ht="16.5" thickTop="1" thickBot="1" x14ac:dyDescent="0.3">
      <c r="B9" s="12" t="s">
        <v>26</v>
      </c>
      <c r="C9" s="49" t="s">
        <v>397</v>
      </c>
      <c r="D9" s="49" t="s">
        <v>398</v>
      </c>
      <c r="E9" s="50" t="s">
        <v>399</v>
      </c>
      <c r="F9" s="42"/>
      <c r="G9" s="43"/>
      <c r="H9" s="43"/>
      <c r="I9" s="43"/>
      <c r="J9" s="42"/>
      <c r="K9" s="43"/>
      <c r="L9" s="43"/>
      <c r="M9" s="42"/>
      <c r="N9" s="45"/>
    </row>
    <row r="10" spans="1:14" ht="15.75" thickTop="1" x14ac:dyDescent="0.25">
      <c r="B10" s="10" t="s">
        <v>19</v>
      </c>
      <c r="C10" s="48">
        <f>SUMIFS(Ledger!$F$4:$F$10059,Ledger!$B$4:$B$10059,"Buy",Ledger!$D$4:$D$10059,B10,Ledger!$I$4:$I$10059, 1)+SUMIFS(Ledger!$F$4:$F$10059,Ledger!$B$4:$B$10059,"Level",Ledger!$C$4:$C$10059,"Attribute",Ledger!$D$4:$D$10059,B10,Ledger!$I$4:$I$10059, 1)+D10</f>
        <v>16</v>
      </c>
      <c r="D10" s="46">
        <v>0</v>
      </c>
      <c r="E10" s="13">
        <f>RoundDownHalf((C10-10)/2)</f>
        <v>3</v>
      </c>
      <c r="F10" s="42"/>
      <c r="G10" s="43"/>
      <c r="H10" s="43"/>
      <c r="I10" s="43"/>
      <c r="J10" s="42"/>
      <c r="K10" s="43"/>
      <c r="L10" s="43"/>
      <c r="M10" s="42"/>
      <c r="N10" s="45"/>
    </row>
    <row r="11" spans="1:14" x14ac:dyDescent="0.25">
      <c r="B11" s="10" t="s">
        <v>20</v>
      </c>
      <c r="C11" s="14">
        <f>SUMIFS(Ledger!$F$4:$F$10059,Ledger!$B$4:$B$10059,"Buy",Ledger!$D$4:$D$10059,B11,Ledger!$I$4:$I$10059, 1)+SUMIFS(Ledger!$F$4:$F$10059,Ledger!$B$4:$B$10059,"Level",Ledger!$C$4:$C$10059,"Attribute",Ledger!$D$4:$D$10059,B11,Ledger!$I$4:$I$10059, 1)+D11</f>
        <v>12</v>
      </c>
      <c r="D11" s="46">
        <v>0</v>
      </c>
      <c r="E11" s="14">
        <f t="shared" ref="E11:E15" si="0">RoundDownHalf((C11-10)/2)</f>
        <v>1</v>
      </c>
      <c r="F11" s="42"/>
      <c r="G11" s="43"/>
      <c r="H11" s="43"/>
      <c r="I11" s="43"/>
      <c r="J11" s="42"/>
      <c r="K11" s="43"/>
      <c r="L11" s="43"/>
      <c r="M11" s="43"/>
      <c r="N11" s="45"/>
    </row>
    <row r="12" spans="1:14" x14ac:dyDescent="0.25">
      <c r="B12" s="10" t="s">
        <v>393</v>
      </c>
      <c r="C12" s="14">
        <f>SUMIFS(Ledger!$F$4:$F$10059,Ledger!$B$4:$B$10059,"Buy",Ledger!$D$4:$D$10059,B12,Ledger!$I$4:$I$10059, 1)+SUMIFS(Ledger!$F$4:$F$10059,Ledger!$B$4:$B$10059,"Level",Ledger!$C$4:$C$10059,"Attribute",Ledger!$D$4:$D$10059,B12,Ledger!$I$4:$I$10059, 1)+D12</f>
        <v>13</v>
      </c>
      <c r="D12" s="46">
        <v>0</v>
      </c>
      <c r="E12" s="14">
        <f t="shared" si="0"/>
        <v>1</v>
      </c>
      <c r="F12" s="42"/>
      <c r="G12" s="44"/>
      <c r="H12" s="43"/>
      <c r="I12" s="43"/>
      <c r="J12" s="42"/>
      <c r="K12" s="43"/>
      <c r="L12" s="43"/>
      <c r="M12" s="43"/>
    </row>
    <row r="13" spans="1:14" x14ac:dyDescent="0.25">
      <c r="B13" s="10" t="s">
        <v>22</v>
      </c>
      <c r="C13" s="14">
        <f>SUMIFS(Ledger!$F$4:$F$10059,Ledger!$B$4:$B$10059,"Buy",Ledger!$D$4:$D$10059,B13,Ledger!$I$4:$I$10059, 1)+SUMIFS(Ledger!$F$4:$F$10059,Ledger!$B$4:$B$10059,"Level",Ledger!$C$4:$C$10059,"Attribute",Ledger!$D$4:$D$10059,B13,Ledger!$I$4:$I$10059, 1)+D13</f>
        <v>14</v>
      </c>
      <c r="D13" s="46">
        <v>0</v>
      </c>
      <c r="E13" s="14">
        <f t="shared" si="0"/>
        <v>2</v>
      </c>
      <c r="F13" s="42"/>
      <c r="G13" s="43"/>
      <c r="H13" s="43"/>
      <c r="I13" s="43"/>
      <c r="J13" s="43"/>
      <c r="K13" s="43"/>
      <c r="L13" s="43"/>
      <c r="M13" s="43"/>
    </row>
    <row r="14" spans="1:14" x14ac:dyDescent="0.25">
      <c r="B14" s="10" t="s">
        <v>394</v>
      </c>
      <c r="C14" s="14">
        <f>SUMIFS(Ledger!$F$4:$F$10059,Ledger!$B$4:$B$10059,"Buy",Ledger!$D$4:$D$10059,B14,Ledger!$I$4:$I$10059, 1)+SUMIFS(Ledger!$F$4:$F$10059,Ledger!$B$4:$B$10059,"Level",Ledger!$C$4:$C$10059,"Attribute",Ledger!$D$4:$D$10059,B14,Ledger!$I$4:$I$10059, 1)+D14</f>
        <v>15</v>
      </c>
      <c r="D14" s="46">
        <v>0</v>
      </c>
      <c r="E14" s="14">
        <f t="shared" si="0"/>
        <v>2</v>
      </c>
      <c r="F14" s="42"/>
      <c r="G14" s="44"/>
      <c r="H14" s="43"/>
      <c r="I14" s="43"/>
      <c r="J14" s="43"/>
      <c r="K14" s="43"/>
      <c r="L14" s="43"/>
      <c r="M14" s="43"/>
    </row>
    <row r="15" spans="1:14" ht="15.75" thickBot="1" x14ac:dyDescent="0.3">
      <c r="B15" s="11" t="s">
        <v>395</v>
      </c>
      <c r="C15" s="15">
        <f>SUMIFS(Ledger!$F$4:$F$10059,Ledger!$B$4:$B$10059,"Buy",Ledger!$D$4:$D$10059,B15,Ledger!$I$4:$I$10059, 1)+SUMIFS(Ledger!$F$4:$F$10059,Ledger!$B$4:$B$10059,"Level",Ledger!$C$4:$C$10059,"Attribute",Ledger!$D$4:$D$10059,B15,Ledger!$I$4:$I$10059, 1)+D15</f>
        <v>16</v>
      </c>
      <c r="D15" s="47">
        <v>0</v>
      </c>
      <c r="E15" s="15">
        <f t="shared" si="0"/>
        <v>3</v>
      </c>
      <c r="F15" s="42"/>
      <c r="G15" s="43"/>
      <c r="H15" s="43"/>
      <c r="I15" s="43"/>
      <c r="J15" s="43"/>
      <c r="K15" s="43"/>
      <c r="L15" s="43"/>
      <c r="M15" s="43"/>
    </row>
    <row r="16" spans="1:14" ht="15.75" thickTop="1" x14ac:dyDescent="0.25">
      <c r="E16" s="43"/>
      <c r="F16" s="42"/>
      <c r="G16" s="43"/>
      <c r="H16" s="43"/>
      <c r="I16" s="43"/>
      <c r="J16" s="43"/>
      <c r="K16" s="43"/>
      <c r="L16" s="43"/>
      <c r="M16" s="43"/>
    </row>
    <row r="17" spans="1:13" x14ac:dyDescent="0.25">
      <c r="E17" s="43"/>
      <c r="F17" s="42"/>
      <c r="G17" s="43"/>
      <c r="H17" s="43"/>
      <c r="I17" s="43"/>
      <c r="J17" s="43"/>
      <c r="K17" s="43"/>
      <c r="L17" s="43"/>
      <c r="M17" s="43"/>
    </row>
    <row r="18" spans="1:13" x14ac:dyDescent="0.25">
      <c r="E18" s="43"/>
      <c r="F18" s="42"/>
      <c r="G18" s="43"/>
      <c r="H18" s="43"/>
      <c r="I18" s="43"/>
      <c r="J18" s="43"/>
      <c r="K18" s="43"/>
      <c r="L18" s="43"/>
      <c r="M18" s="43"/>
    </row>
    <row r="19" spans="1:13" x14ac:dyDescent="0.25">
      <c r="A19" s="43"/>
      <c r="B19" s="43"/>
      <c r="C19" s="43"/>
      <c r="D19" s="43"/>
      <c r="E19" s="43"/>
      <c r="F19" s="43"/>
      <c r="G19" s="43"/>
      <c r="H19" s="43"/>
      <c r="I19" s="43"/>
    </row>
    <row r="20" spans="1:13" x14ac:dyDescent="0.25">
      <c r="A20" s="43"/>
      <c r="B20" s="43"/>
      <c r="C20" s="43"/>
      <c r="D20" s="43"/>
      <c r="E20" s="43"/>
      <c r="F20" s="43"/>
      <c r="G20" s="43"/>
      <c r="H20" s="43"/>
      <c r="I20" s="43"/>
    </row>
  </sheetData>
  <mergeCells count="5">
    <mergeCell ref="C5:D5"/>
    <mergeCell ref="C2:D2"/>
    <mergeCell ref="C4:D4"/>
    <mergeCell ref="C7:D7"/>
    <mergeCell ref="C6:D6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Tables!$D$13:$D$20</xm:f>
          </x14:formula1>
          <xm:sqref>C5:D5</xm:sqref>
        </x14:dataValidation>
        <x14:dataValidation type="list" allowBlank="1" showInputMessage="1" showErrorMessage="1">
          <x14:formula1>
            <xm:f>Tables!A4:A6</xm:f>
          </x14:formula1>
          <xm:sqref>G7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5"/>
  <sheetViews>
    <sheetView workbookViewId="0">
      <selection activeCell="E5" sqref="E5"/>
    </sheetView>
  </sheetViews>
  <sheetFormatPr defaultColWidth="8.85546875" defaultRowHeight="15" x14ac:dyDescent="0.25"/>
  <cols>
    <col min="1" max="1" width="13.28515625" customWidth="1"/>
    <col min="6" max="6" width="13.140625" customWidth="1"/>
    <col min="7" max="7" width="17.7109375" customWidth="1"/>
    <col min="8" max="8" width="18.28515625" customWidth="1"/>
    <col min="10" max="10" width="9.28515625" customWidth="1"/>
  </cols>
  <sheetData>
    <row r="1" spans="1:11" ht="20.25" thickTop="1" thickBot="1" x14ac:dyDescent="0.35">
      <c r="A1" s="16" t="s">
        <v>53</v>
      </c>
      <c r="C1" s="8" t="s">
        <v>10</v>
      </c>
      <c r="D1" s="31">
        <v>41558</v>
      </c>
      <c r="E1" s="37"/>
    </row>
    <row r="2" spans="1:11" ht="16.5" thickTop="1" thickBot="1" x14ac:dyDescent="0.3"/>
    <row r="3" spans="1:11" ht="16.5" thickTop="1" thickBot="1" x14ac:dyDescent="0.3">
      <c r="A3" s="17" t="s">
        <v>3</v>
      </c>
      <c r="B3" s="18" t="s">
        <v>70</v>
      </c>
      <c r="C3" s="18" t="s">
        <v>50</v>
      </c>
      <c r="D3" s="18" t="s">
        <v>69</v>
      </c>
      <c r="E3" s="18" t="s">
        <v>68</v>
      </c>
      <c r="F3" s="18" t="s">
        <v>75</v>
      </c>
      <c r="G3" s="18" t="s">
        <v>76</v>
      </c>
      <c r="H3" s="18" t="s">
        <v>77</v>
      </c>
      <c r="I3" s="18" t="s">
        <v>55</v>
      </c>
      <c r="J3" s="18" t="s">
        <v>74</v>
      </c>
      <c r="K3" s="19" t="s">
        <v>56</v>
      </c>
    </row>
    <row r="4" spans="1:11" ht="15.75" thickTop="1" x14ac:dyDescent="0.25">
      <c r="A4" s="20" t="s">
        <v>67</v>
      </c>
      <c r="B4" s="21">
        <f>SUMIFS(Ledger!$F$4:$F$10059,Ledger!$B$4:$B$10059,"Spend",Ledger!$C$4:$C$10059,"Weapon",Ledger!$E$4:$E$10059,A4,Ledger!$I$4:$I$10059, 1)</f>
        <v>6</v>
      </c>
      <c r="C4">
        <f>TRUNC(logdown(B4,2))</f>
        <v>2</v>
      </c>
      <c r="D4">
        <f>VLOOKUP(A4,Tables!$D$24:$H$29,MATCH("Damage",Tables!$D$23:$H$23,0),FALSE)</f>
        <v>4.5</v>
      </c>
      <c r="E4">
        <f>RoundDownHalf(D4*Stats!$G$12)</f>
        <v>0</v>
      </c>
      <c r="F4" t="str">
        <f>MatrixLU(Tables!$J$23:$M$123, $E4, $F$3, "Unknown")</f>
        <v>Unknown</v>
      </c>
      <c r="G4" t="str">
        <f>MatrixLU(Tables!$J$23:$M$123, $E4, $G$3, "Unknown")</f>
        <v>Unknown</v>
      </c>
      <c r="H4" t="str">
        <f>MatrixLU(Tables!$J$23:$M$123, $E4, $H$3, "Unknown")</f>
        <v>Unknown</v>
      </c>
      <c r="I4">
        <f>RoundUpHalf(VLOOKUP(A4,Tables!$D$24:$H$29,MATCH("BAD",Tables!$D$23:$H$23,0),FALSE)*logup(C4, Tables!$J$4))</f>
        <v>6</v>
      </c>
      <c r="J4" t="str">
        <f>MatrixLU(Tables!$J$23:$M$123, $I4, $H$3, "Unknown")</f>
        <v>1d4+1d8-1</v>
      </c>
      <c r="K4">
        <f>ROUNDUP(VLOOKUP(A4,Tables!$D$24:$H$29,MATCH("FT",Tables!$D$23:$H$23,0),FALSE)*logup(C4,Tables!$J$4),1)</f>
        <v>0</v>
      </c>
    </row>
    <row r="5" spans="1:11" x14ac:dyDescent="0.25">
      <c r="A5" s="20" t="s">
        <v>58</v>
      </c>
      <c r="B5" s="21">
        <f>SUMIFS(Ledger!$F$4:$F$10059,Ledger!$B$4:$B$10059,"Spend",Ledger!$C$4:$C$10059,"Weapon",Ledger!$E$4:$E$10059,A5,Ledger!$I$4:$I$10059, 1)</f>
        <v>32</v>
      </c>
      <c r="C5">
        <f>TRUNC(logdown(B5,2))</f>
        <v>5</v>
      </c>
      <c r="D5">
        <f>VLOOKUP(A5,Tables!$D$24:$H$29,MATCH("Damage",Tables!$D$23:$H$23,0),FALSE)</f>
        <v>6</v>
      </c>
      <c r="E5">
        <f>RoundDownHalf(D5*Stats!$G$12)</f>
        <v>0</v>
      </c>
      <c r="F5" t="str">
        <f>MatrixLU(Tables!$J$23:$M$123, $E5, $F$3, "Unknown")</f>
        <v>Unknown</v>
      </c>
      <c r="G5" t="str">
        <f>MatrixLU(Tables!$J$23:$M$123, $E5, $G$3, "Unknown")</f>
        <v>Unknown</v>
      </c>
      <c r="H5" t="str">
        <f>MatrixLU(Tables!$J$23:$M$123, $E5, $H$3, "Unknown")</f>
        <v>Unknown</v>
      </c>
      <c r="I5">
        <f>RoundUpHalf(VLOOKUP(A5,Tables!$D$24:$H$29,MATCH("BAD",Tables!$D$23:$H$23,0),FALSE)*logup(C5, Tables!$J$4))</f>
        <v>0</v>
      </c>
      <c r="J5" t="str">
        <f>MatrixLU(Tables!$J$23:$M$123, $I5, $H$3, "Unknown")</f>
        <v>Unknown</v>
      </c>
      <c r="K5">
        <f>ROUNDUP(VLOOKUP(A5,Tables!$D$24:$H$29,MATCH("FT",Tables!$D$23:$H$23,0),FALSE)*logup(C5,Tables!$J$4),0)</f>
        <v>4</v>
      </c>
    </row>
  </sheetData>
  <mergeCells count="1">
    <mergeCell ref="D1:E1"/>
  </mergeCell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4"/>
  <sheetViews>
    <sheetView workbookViewId="0">
      <selection activeCell="A4" sqref="A4"/>
    </sheetView>
  </sheetViews>
  <sheetFormatPr defaultColWidth="8.85546875" defaultRowHeight="15" x14ac:dyDescent="0.25"/>
  <cols>
    <col min="1" max="1" width="15.7109375" customWidth="1"/>
  </cols>
  <sheetData>
    <row r="1" spans="1:5" ht="20.25" thickTop="1" thickBot="1" x14ac:dyDescent="0.35">
      <c r="A1" s="16" t="s">
        <v>60</v>
      </c>
      <c r="C1" s="8" t="s">
        <v>10</v>
      </c>
      <c r="D1" s="31">
        <v>41558</v>
      </c>
      <c r="E1" s="37"/>
    </row>
    <row r="2" spans="1:5" ht="16.5" thickTop="1" thickBot="1" x14ac:dyDescent="0.3"/>
    <row r="3" spans="1:5" ht="16.5" thickTop="1" thickBot="1" x14ac:dyDescent="0.3">
      <c r="A3" s="17" t="s">
        <v>3</v>
      </c>
      <c r="B3" s="18" t="s">
        <v>70</v>
      </c>
      <c r="C3" s="18" t="s">
        <v>50</v>
      </c>
    </row>
    <row r="4" spans="1:5" ht="15.75" thickTop="1" x14ac:dyDescent="0.25">
      <c r="A4" s="20" t="s">
        <v>66</v>
      </c>
      <c r="B4" s="21">
        <f>SUMIFS(Ledger!$F$4:$F$10059,Ledger!$B$4:$B$10059,"Spend",Ledger!$C$4:$C$10059,"Skill",Ledger!$E$4:$E$10059,A4,Ledger!$I$4:$I$10059, 1)</f>
        <v>5</v>
      </c>
      <c r="C4">
        <f>TRUNC(logdown(B4,2))</f>
        <v>2</v>
      </c>
    </row>
  </sheetData>
  <mergeCells count="1">
    <mergeCell ref="D1:E1"/>
  </mergeCell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4"/>
  <sheetViews>
    <sheetView workbookViewId="0">
      <selection activeCell="A7" sqref="A7"/>
    </sheetView>
  </sheetViews>
  <sheetFormatPr defaultColWidth="8.85546875" defaultRowHeight="15" x14ac:dyDescent="0.25"/>
  <sheetData>
    <row r="1" spans="1:5" ht="20.25" thickTop="1" thickBot="1" x14ac:dyDescent="0.35">
      <c r="A1" s="16" t="s">
        <v>390</v>
      </c>
      <c r="C1" s="8" t="s">
        <v>10</v>
      </c>
      <c r="D1" s="31">
        <v>41558</v>
      </c>
      <c r="E1" s="37"/>
    </row>
    <row r="2" spans="1:5" ht="16.5" thickTop="1" thickBot="1" x14ac:dyDescent="0.3"/>
    <row r="3" spans="1:5" ht="16.5" thickTop="1" thickBot="1" x14ac:dyDescent="0.3">
      <c r="A3" s="17" t="s">
        <v>3</v>
      </c>
      <c r="B3" s="18" t="s">
        <v>70</v>
      </c>
      <c r="C3" s="18" t="s">
        <v>50</v>
      </c>
      <c r="D3" s="22" t="s">
        <v>78</v>
      </c>
      <c r="E3" s="22" t="s">
        <v>79</v>
      </c>
    </row>
    <row r="4" spans="1:5" ht="15.75" thickTop="1" x14ac:dyDescent="0.25">
      <c r="A4" s="20" t="s">
        <v>64</v>
      </c>
      <c r="B4" s="21">
        <f>SUMIFS(Ledger!$F$4:$F$10059,Ledger!$B$4:$B$10059,"Spend",Ledger!$C$4:$C$10059,"Magic",Ledger!$E$4:$E$10059,A4,Ledger!$I$4:$I$10059, 1)</f>
        <v>4</v>
      </c>
      <c r="C4">
        <f>TRUNC(logdown(B4,2))</f>
        <v>2</v>
      </c>
    </row>
  </sheetData>
  <mergeCells count="1">
    <mergeCell ref="D1:E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9"/>
  <sheetViews>
    <sheetView workbookViewId="0">
      <selection activeCell="D28" sqref="D28"/>
    </sheetView>
  </sheetViews>
  <sheetFormatPr defaultColWidth="8.85546875" defaultRowHeight="15" x14ac:dyDescent="0.25"/>
  <cols>
    <col min="1" max="1" width="18.42578125" customWidth="1"/>
    <col min="2" max="2" width="11.42578125" customWidth="1"/>
    <col min="4" max="5" width="15" customWidth="1"/>
    <col min="7" max="7" width="34.42578125" customWidth="1"/>
    <col min="9" max="9" width="11.7109375" customWidth="1"/>
  </cols>
  <sheetData>
    <row r="1" spans="1:9" ht="20.25" thickTop="1" thickBot="1" x14ac:dyDescent="0.35">
      <c r="A1" s="1" t="s">
        <v>61</v>
      </c>
      <c r="B1" s="2"/>
      <c r="C1" s="8" t="s">
        <v>10</v>
      </c>
      <c r="D1" s="31">
        <v>41558</v>
      </c>
      <c r="E1" s="32"/>
      <c r="G1" s="2"/>
    </row>
    <row r="2" spans="1:9" ht="16.5" thickTop="1" thickBot="1" x14ac:dyDescent="0.3">
      <c r="A2" s="2"/>
      <c r="B2" s="2"/>
      <c r="C2" s="2"/>
      <c r="D2" s="2"/>
      <c r="E2" s="2"/>
      <c r="F2" s="2"/>
      <c r="G2" s="2"/>
      <c r="I2" t="s">
        <v>9</v>
      </c>
    </row>
    <row r="3" spans="1:9" ht="16.5" thickTop="1" thickBot="1" x14ac:dyDescent="0.3">
      <c r="A3" s="27" t="s">
        <v>10</v>
      </c>
      <c r="B3" s="28" t="s">
        <v>11</v>
      </c>
      <c r="C3" s="28" t="s">
        <v>13</v>
      </c>
      <c r="D3" s="28" t="s">
        <v>12</v>
      </c>
      <c r="E3" s="28" t="s">
        <v>63</v>
      </c>
      <c r="F3" s="28" t="s">
        <v>14</v>
      </c>
      <c r="G3" s="28" t="s">
        <v>15</v>
      </c>
      <c r="H3" s="28" t="s">
        <v>16</v>
      </c>
      <c r="I3" s="29" t="s">
        <v>17</v>
      </c>
    </row>
    <row r="4" spans="1:9" ht="15.75" thickTop="1" x14ac:dyDescent="0.25">
      <c r="A4" s="25">
        <v>41526</v>
      </c>
      <c r="B4" s="26" t="s">
        <v>18</v>
      </c>
      <c r="C4" s="4" t="s">
        <v>26</v>
      </c>
      <c r="D4" s="26" t="s">
        <v>19</v>
      </c>
      <c r="E4" s="26"/>
      <c r="F4" s="26">
        <v>15</v>
      </c>
      <c r="G4" s="26" t="s">
        <v>400</v>
      </c>
      <c r="H4" s="5">
        <f>IF(B4 = "Buy", F4 * VLOOKUP(D4,Tables!$D$4:$E$10,2,FALSE),  IF(B4="Spend", F4, 0))</f>
        <v>15</v>
      </c>
      <c r="I4" s="5">
        <f t="shared" ref="I4:I19" si="0">IF(A4 &lt;= $D$1, 1, 0)</f>
        <v>1</v>
      </c>
    </row>
    <row r="5" spans="1:9" x14ac:dyDescent="0.25">
      <c r="A5" s="3">
        <v>41526</v>
      </c>
      <c r="B5" s="4" t="s">
        <v>18</v>
      </c>
      <c r="C5" s="4" t="s">
        <v>26</v>
      </c>
      <c r="D5" s="4" t="s">
        <v>20</v>
      </c>
      <c r="E5" s="4"/>
      <c r="F5" s="4">
        <v>12</v>
      </c>
      <c r="G5" s="4" t="s">
        <v>400</v>
      </c>
      <c r="H5" s="5">
        <f>IF(B5 = "Buy", F5 * VLOOKUP(D5,Tables!$D$4:$E$10,2,FALSE),  IF(B5="Spend", F5, 0))</f>
        <v>12</v>
      </c>
      <c r="I5" s="5">
        <f t="shared" si="0"/>
        <v>1</v>
      </c>
    </row>
    <row r="6" spans="1:9" x14ac:dyDescent="0.25">
      <c r="A6" s="3">
        <v>41526</v>
      </c>
      <c r="B6" s="4" t="s">
        <v>18</v>
      </c>
      <c r="C6" s="4" t="s">
        <v>26</v>
      </c>
      <c r="D6" s="4" t="s">
        <v>393</v>
      </c>
      <c r="E6" s="4"/>
      <c r="F6" s="4">
        <v>13</v>
      </c>
      <c r="G6" s="4" t="s">
        <v>400</v>
      </c>
      <c r="H6" s="5">
        <f>IF(B6 = "Buy", F6 * VLOOKUP(D6,Tables!$D$4:$E$10,2,FALSE),  IF(B6="Spend", F6, 0))</f>
        <v>13</v>
      </c>
      <c r="I6" s="5">
        <f t="shared" si="0"/>
        <v>1</v>
      </c>
    </row>
    <row r="7" spans="1:9" x14ac:dyDescent="0.25">
      <c r="A7" s="3">
        <v>41526</v>
      </c>
      <c r="B7" s="4" t="s">
        <v>18</v>
      </c>
      <c r="C7" s="4" t="s">
        <v>26</v>
      </c>
      <c r="D7" s="4" t="s">
        <v>22</v>
      </c>
      <c r="E7" s="4"/>
      <c r="F7" s="4">
        <v>14</v>
      </c>
      <c r="G7" s="4" t="s">
        <v>400</v>
      </c>
      <c r="H7" s="5">
        <f>IF(B7 = "Buy", F7 * VLOOKUP(D7,Tables!$D$4:$E$10,2,FALSE),  IF(B7="Spend", F7, 0))</f>
        <v>14</v>
      </c>
      <c r="I7" s="5">
        <f t="shared" si="0"/>
        <v>1</v>
      </c>
    </row>
    <row r="8" spans="1:9" x14ac:dyDescent="0.25">
      <c r="A8" s="3">
        <v>41526</v>
      </c>
      <c r="B8" s="4" t="s">
        <v>18</v>
      </c>
      <c r="C8" s="4" t="s">
        <v>26</v>
      </c>
      <c r="D8" s="4" t="s">
        <v>394</v>
      </c>
      <c r="E8" s="4"/>
      <c r="F8" s="4">
        <v>15</v>
      </c>
      <c r="G8" s="4" t="s">
        <v>400</v>
      </c>
      <c r="H8" s="5">
        <f>IF(B8 = "Buy", F8 * VLOOKUP(D8,Tables!$D$4:$E$10,2,FALSE),  IF(B8="Spend", F8, 0))</f>
        <v>15</v>
      </c>
      <c r="I8" s="5">
        <f t="shared" si="0"/>
        <v>1</v>
      </c>
    </row>
    <row r="9" spans="1:9" x14ac:dyDescent="0.25">
      <c r="A9" s="3">
        <v>41526</v>
      </c>
      <c r="B9" s="4" t="s">
        <v>18</v>
      </c>
      <c r="C9" s="4" t="s">
        <v>26</v>
      </c>
      <c r="D9" s="4" t="s">
        <v>395</v>
      </c>
      <c r="E9" s="4"/>
      <c r="F9" s="4">
        <v>16</v>
      </c>
      <c r="G9" s="4" t="s">
        <v>400</v>
      </c>
      <c r="H9" s="5">
        <f>IF(B9 = "Buy", F9 * VLOOKUP(D9,Tables!$D$4:$E$10,2,FALSE),  IF(B9="Spend", F9, 0))</f>
        <v>16</v>
      </c>
      <c r="I9" s="5">
        <f t="shared" si="0"/>
        <v>1</v>
      </c>
    </row>
    <row r="10" spans="1:9" x14ac:dyDescent="0.25">
      <c r="A10" s="3">
        <v>41527</v>
      </c>
      <c r="B10" s="4" t="s">
        <v>50</v>
      </c>
      <c r="C10" s="4" t="s">
        <v>26</v>
      </c>
      <c r="D10" s="4" t="s">
        <v>19</v>
      </c>
      <c r="E10" s="4"/>
      <c r="F10" s="4">
        <v>1</v>
      </c>
      <c r="G10" s="4" t="s">
        <v>45</v>
      </c>
      <c r="H10" s="5">
        <f>IF(B10 = "Buy", F10 * VLOOKUP(D10,Tables!$D$4:$E$10,2,FALSE),  IF(B10="Spend", F10, 0))</f>
        <v>0</v>
      </c>
      <c r="I10" s="5">
        <f t="shared" si="0"/>
        <v>1</v>
      </c>
    </row>
    <row r="11" spans="1:9" x14ac:dyDescent="0.25">
      <c r="A11" s="3">
        <v>41527</v>
      </c>
      <c r="B11" s="4" t="s">
        <v>50</v>
      </c>
      <c r="C11" s="4" t="s">
        <v>27</v>
      </c>
      <c r="D11" s="4" t="s">
        <v>19</v>
      </c>
      <c r="E11" s="4"/>
      <c r="F11" s="4">
        <v>1</v>
      </c>
      <c r="G11" s="4" t="s">
        <v>45</v>
      </c>
      <c r="H11" s="5">
        <f>IF(B11 = "Buy", F11 * VLOOKUP(D11,Tables!$D$4:$E$10,2,FALSE),  IF(B11="Spend", F11, 0))</f>
        <v>0</v>
      </c>
      <c r="I11" s="5">
        <f t="shared" ref="I11" si="1">IF(A11 &lt;= $D$1, 1, 0)</f>
        <v>1</v>
      </c>
    </row>
    <row r="12" spans="1:9" x14ac:dyDescent="0.25">
      <c r="A12" s="3">
        <v>41527</v>
      </c>
      <c r="B12" s="4" t="s">
        <v>50</v>
      </c>
      <c r="C12" s="4" t="s">
        <v>49</v>
      </c>
      <c r="D12" s="4" t="s">
        <v>19</v>
      </c>
      <c r="E12" s="4"/>
      <c r="F12" s="4">
        <v>10000</v>
      </c>
      <c r="G12" s="4" t="s">
        <v>45</v>
      </c>
      <c r="H12" s="5">
        <f>IF(B12 = "Buy", F12 * VLOOKUP(D12,Tables!$D$4:$E$10,2,FALSE),  IF(B12="Spend", F12, 0))</f>
        <v>0</v>
      </c>
      <c r="I12" s="5">
        <f t="shared" si="0"/>
        <v>1</v>
      </c>
    </row>
    <row r="13" spans="1:9" x14ac:dyDescent="0.25">
      <c r="A13" s="3">
        <v>41528</v>
      </c>
      <c r="B13" s="4" t="s">
        <v>50</v>
      </c>
      <c r="C13" s="4" t="s">
        <v>26</v>
      </c>
      <c r="D13" s="4" t="s">
        <v>21</v>
      </c>
      <c r="E13" s="4"/>
      <c r="F13" s="4">
        <v>1</v>
      </c>
      <c r="G13" s="4" t="s">
        <v>46</v>
      </c>
      <c r="H13" s="5">
        <f>IF(B13 = "Buy", F13 * VLOOKUP(D13,Tables!$D$4:$E$10,2,FALSE),  IF(B13="Spend", F13, 0))</f>
        <v>0</v>
      </c>
      <c r="I13" s="5">
        <f t="shared" si="0"/>
        <v>1</v>
      </c>
    </row>
    <row r="14" spans="1:9" ht="14.1" customHeight="1" x14ac:dyDescent="0.25">
      <c r="A14" s="3">
        <v>41528</v>
      </c>
      <c r="B14" s="4" t="s">
        <v>50</v>
      </c>
      <c r="C14" s="4" t="s">
        <v>52</v>
      </c>
      <c r="D14" s="4" t="s">
        <v>19</v>
      </c>
      <c r="E14" s="4"/>
      <c r="F14" s="4">
        <v>1</v>
      </c>
      <c r="G14" s="4" t="s">
        <v>46</v>
      </c>
      <c r="H14" s="5">
        <f>IF(B14 = "Buy", F14 * VLOOKUP(D14,Tables!$D$4:$E$10,2,FALSE),  IF(B14="Spend", F14, 0))</f>
        <v>0</v>
      </c>
      <c r="I14" s="5">
        <f t="shared" si="0"/>
        <v>1</v>
      </c>
    </row>
    <row r="15" spans="1:9" ht="14.1" customHeight="1" x14ac:dyDescent="0.25">
      <c r="A15" s="3">
        <v>41528</v>
      </c>
      <c r="B15" s="4" t="s">
        <v>50</v>
      </c>
      <c r="C15" s="4" t="s">
        <v>49</v>
      </c>
      <c r="D15" s="4" t="s">
        <v>19</v>
      </c>
      <c r="E15" s="4"/>
      <c r="F15" s="4">
        <v>10000</v>
      </c>
      <c r="G15" s="4" t="s">
        <v>46</v>
      </c>
      <c r="H15" s="5">
        <f>IF(B15 = "Buy", F15 * VLOOKUP(D15,Tables!$D$4:$E$10,2,FALSE),  IF(B15="Spend", F15, 0))</f>
        <v>0</v>
      </c>
      <c r="I15" s="5">
        <f>IF(A15 &lt;= $D$1, 1, 0)</f>
        <v>1</v>
      </c>
    </row>
    <row r="16" spans="1:9" x14ac:dyDescent="0.25">
      <c r="A16" s="3">
        <v>41529</v>
      </c>
      <c r="B16" s="4" t="s">
        <v>62</v>
      </c>
      <c r="C16" s="4" t="s">
        <v>0</v>
      </c>
      <c r="D16" s="4" t="s">
        <v>19</v>
      </c>
      <c r="E16" s="4" t="s">
        <v>64</v>
      </c>
      <c r="F16" s="4">
        <v>4</v>
      </c>
      <c r="G16" s="4" t="s">
        <v>65</v>
      </c>
      <c r="H16" s="5">
        <f>IF(B16 = "Buy", F16 * VLOOKUP(D16,Tables!$D$4:$E$10,2,FALSE),  IF(B16="Spend", F16, 0))</f>
        <v>4</v>
      </c>
      <c r="I16" s="5">
        <f t="shared" si="0"/>
        <v>1</v>
      </c>
    </row>
    <row r="17" spans="1:9" x14ac:dyDescent="0.25">
      <c r="A17" s="3">
        <v>41530</v>
      </c>
      <c r="B17" s="4" t="s">
        <v>62</v>
      </c>
      <c r="C17" s="4" t="s">
        <v>1</v>
      </c>
      <c r="D17" s="4" t="s">
        <v>19</v>
      </c>
      <c r="E17" s="4" t="s">
        <v>66</v>
      </c>
      <c r="F17" s="4">
        <v>5</v>
      </c>
      <c r="G17" s="4" t="s">
        <v>65</v>
      </c>
      <c r="H17" s="5">
        <f>IF(B17 = "Buy", F17 * VLOOKUP(D17,Tables!$D$4:$E$10,2,FALSE),  IF(B17="Spend", F17, 0))</f>
        <v>5</v>
      </c>
      <c r="I17" s="5">
        <f t="shared" si="0"/>
        <v>1</v>
      </c>
    </row>
    <row r="18" spans="1:9" x14ac:dyDescent="0.25">
      <c r="A18" s="3">
        <v>41531</v>
      </c>
      <c r="B18" s="4" t="s">
        <v>62</v>
      </c>
      <c r="C18" s="4" t="s">
        <v>52</v>
      </c>
      <c r="D18" s="4" t="s">
        <v>19</v>
      </c>
      <c r="E18" s="4" t="s">
        <v>67</v>
      </c>
      <c r="F18" s="4">
        <v>6</v>
      </c>
      <c r="G18" s="4" t="s">
        <v>65</v>
      </c>
      <c r="H18" s="5">
        <f>IF(B18 = "Buy", F18 * VLOOKUP(D18,Tables!$D$4:$E$10,2,FALSE),  IF(B18="Spend", F18, 0))</f>
        <v>6</v>
      </c>
      <c r="I18" s="5">
        <f t="shared" si="0"/>
        <v>1</v>
      </c>
    </row>
    <row r="19" spans="1:9" x14ac:dyDescent="0.25">
      <c r="A19" s="3">
        <v>41532</v>
      </c>
      <c r="B19" s="4" t="s">
        <v>62</v>
      </c>
      <c r="C19" s="4" t="s">
        <v>52</v>
      </c>
      <c r="D19" s="4" t="s">
        <v>19</v>
      </c>
      <c r="E19" s="4" t="s">
        <v>58</v>
      </c>
      <c r="F19" s="4">
        <v>32</v>
      </c>
      <c r="G19" s="4" t="s">
        <v>65</v>
      </c>
      <c r="H19" s="5">
        <f>IF(B19 = "Buy", F19 * VLOOKUP(D19,Tables!$D$4:$E$10,2,FALSE),  IF(B19="Spend", F19, 0))</f>
        <v>32</v>
      </c>
      <c r="I19" s="5">
        <f t="shared" si="0"/>
        <v>1</v>
      </c>
    </row>
  </sheetData>
  <mergeCells count="1">
    <mergeCell ref="D1:E1"/>
  </mergeCells>
  <dataValidations count="2">
    <dataValidation type="list" allowBlank="1" showInputMessage="1" showErrorMessage="1" sqref="B14:B19">
      <formula1>$A$9:$A$199</formula1>
    </dataValidation>
    <dataValidation type="list" allowBlank="1" showInputMessage="1" showErrorMessage="1" sqref="C14:C19">
      <formula1>$A$21:$A$26</formula1>
    </dataValidation>
  </dataValidations>
  <pageMargins left="0.7" right="0.7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Tables!$D$4:$D$10</xm:f>
          </x14:formula1>
          <xm:sqref>D4:D19</xm:sqref>
        </x14:dataValidation>
        <x14:dataValidation type="list" allowBlank="1" showInputMessage="1" showErrorMessage="1">
          <x14:formula1>
            <xm:f>Tables!$A$9:$A$202</xm:f>
          </x14:formula1>
          <xm:sqref>B4:B13</xm:sqref>
        </x14:dataValidation>
        <x14:dataValidation type="list" allowBlank="1" showInputMessage="1" showErrorMessage="1">
          <x14:formula1>
            <xm:f>Tables!$A$24:$A$29</xm:f>
          </x14:formula1>
          <xm:sqref>C4:C13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F14" sqref="F14"/>
    </sheetView>
  </sheetViews>
  <sheetFormatPr defaultColWidth="8.85546875" defaultRowHeight="15" x14ac:dyDescent="0.25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Z123"/>
  <sheetViews>
    <sheetView workbookViewId="0">
      <selection activeCell="G9" sqref="G9"/>
    </sheetView>
  </sheetViews>
  <sheetFormatPr defaultColWidth="8.85546875" defaultRowHeight="15" x14ac:dyDescent="0.25"/>
  <cols>
    <col min="1" max="1" width="13.140625" customWidth="1"/>
    <col min="2" max="2" width="10.140625" customWidth="1"/>
    <col min="4" max="4" width="10" customWidth="1"/>
    <col min="14" max="14" width="11.42578125" customWidth="1"/>
    <col min="20" max="20" width="8.85546875" customWidth="1"/>
    <col min="21" max="21" width="9.85546875" customWidth="1"/>
    <col min="22" max="22" width="17.42578125" customWidth="1"/>
    <col min="23" max="23" width="20.85546875" bestFit="1" customWidth="1"/>
    <col min="24" max="24" width="21.42578125" customWidth="1"/>
  </cols>
  <sheetData>
    <row r="3" spans="1:26" x14ac:dyDescent="0.25">
      <c r="A3" s="6" t="s">
        <v>5</v>
      </c>
      <c r="B3" s="6" t="s">
        <v>26</v>
      </c>
      <c r="D3" s="6" t="s">
        <v>12</v>
      </c>
      <c r="E3" s="6" t="s">
        <v>23</v>
      </c>
      <c r="F3" s="6" t="s">
        <v>47</v>
      </c>
      <c r="G3" s="6" t="s">
        <v>48</v>
      </c>
      <c r="I3" s="6" t="s">
        <v>73</v>
      </c>
      <c r="J3" s="6" t="s">
        <v>71</v>
      </c>
    </row>
    <row r="4" spans="1:26" x14ac:dyDescent="0.25">
      <c r="A4" t="s">
        <v>7</v>
      </c>
      <c r="B4" t="s">
        <v>21</v>
      </c>
      <c r="D4" t="s">
        <v>19</v>
      </c>
      <c r="E4">
        <v>1</v>
      </c>
      <c r="F4" t="s">
        <v>377</v>
      </c>
      <c r="G4" t="s">
        <v>29</v>
      </c>
      <c r="I4">
        <v>85</v>
      </c>
      <c r="J4">
        <v>0.96</v>
      </c>
    </row>
    <row r="5" spans="1:26" x14ac:dyDescent="0.25">
      <c r="A5" t="s">
        <v>6</v>
      </c>
      <c r="B5" t="s">
        <v>21</v>
      </c>
      <c r="D5" t="s">
        <v>20</v>
      </c>
      <c r="E5">
        <v>1</v>
      </c>
      <c r="F5" t="s">
        <v>378</v>
      </c>
      <c r="G5" t="s">
        <v>31</v>
      </c>
    </row>
    <row r="6" spans="1:26" x14ac:dyDescent="0.25">
      <c r="A6" t="s">
        <v>8</v>
      </c>
      <c r="B6" t="s">
        <v>22</v>
      </c>
      <c r="D6" t="s">
        <v>393</v>
      </c>
      <c r="E6">
        <v>1</v>
      </c>
      <c r="F6" t="s">
        <v>379</v>
      </c>
      <c r="G6" t="s">
        <v>33</v>
      </c>
    </row>
    <row r="7" spans="1:26" x14ac:dyDescent="0.25">
      <c r="D7" t="s">
        <v>22</v>
      </c>
      <c r="E7">
        <v>1</v>
      </c>
      <c r="F7" t="s">
        <v>380</v>
      </c>
      <c r="G7" t="s">
        <v>35</v>
      </c>
    </row>
    <row r="8" spans="1:26" x14ac:dyDescent="0.25">
      <c r="A8" s="6" t="s">
        <v>24</v>
      </c>
      <c r="D8" t="s">
        <v>394</v>
      </c>
      <c r="E8">
        <v>1</v>
      </c>
      <c r="F8" t="s">
        <v>381</v>
      </c>
      <c r="G8" t="s">
        <v>37</v>
      </c>
    </row>
    <row r="9" spans="1:26" x14ac:dyDescent="0.25">
      <c r="A9" t="s">
        <v>18</v>
      </c>
      <c r="D9" t="s">
        <v>395</v>
      </c>
      <c r="E9">
        <v>1</v>
      </c>
      <c r="F9" t="s">
        <v>382</v>
      </c>
      <c r="G9" t="s">
        <v>39</v>
      </c>
    </row>
    <row r="10" spans="1:26" x14ac:dyDescent="0.25">
      <c r="A10" t="s">
        <v>50</v>
      </c>
    </row>
    <row r="11" spans="1:26" x14ac:dyDescent="0.25">
      <c r="A11" t="s">
        <v>62</v>
      </c>
    </row>
    <row r="12" spans="1:26" x14ac:dyDescent="0.25">
      <c r="D12" s="6" t="s">
        <v>4</v>
      </c>
      <c r="E12" s="6" t="s">
        <v>28</v>
      </c>
      <c r="F12" s="6" t="s">
        <v>29</v>
      </c>
      <c r="G12" s="6" t="s">
        <v>377</v>
      </c>
      <c r="H12" s="6" t="s">
        <v>30</v>
      </c>
      <c r="I12" s="6" t="s">
        <v>31</v>
      </c>
      <c r="J12" s="6" t="s">
        <v>378</v>
      </c>
      <c r="K12" s="6" t="s">
        <v>32</v>
      </c>
      <c r="L12" s="6" t="s">
        <v>33</v>
      </c>
      <c r="M12" s="6" t="s">
        <v>379</v>
      </c>
      <c r="N12" s="6" t="s">
        <v>34</v>
      </c>
      <c r="O12" s="6" t="s">
        <v>35</v>
      </c>
      <c r="P12" s="6" t="s">
        <v>380</v>
      </c>
      <c r="Q12" s="6" t="s">
        <v>36</v>
      </c>
      <c r="R12" s="6" t="s">
        <v>37</v>
      </c>
      <c r="S12" s="6" t="s">
        <v>381</v>
      </c>
      <c r="T12" s="6" t="s">
        <v>38</v>
      </c>
      <c r="U12" s="6" t="s">
        <v>39</v>
      </c>
      <c r="V12" s="6" t="s">
        <v>382</v>
      </c>
      <c r="W12" s="6" t="s">
        <v>40</v>
      </c>
      <c r="X12" s="6" t="s">
        <v>41</v>
      </c>
      <c r="Y12" s="6" t="s">
        <v>383</v>
      </c>
      <c r="Z12" s="6" t="s">
        <v>384</v>
      </c>
    </row>
    <row r="13" spans="1:26" x14ac:dyDescent="0.25">
      <c r="D13" t="s">
        <v>387</v>
      </c>
      <c r="E13">
        <v>3</v>
      </c>
      <c r="F13">
        <v>17</v>
      </c>
      <c r="G13">
        <v>8</v>
      </c>
      <c r="H13">
        <v>5</v>
      </c>
      <c r="I13">
        <v>20</v>
      </c>
      <c r="J13">
        <v>10</v>
      </c>
      <c r="K13">
        <v>5</v>
      </c>
      <c r="L13">
        <v>20</v>
      </c>
      <c r="M13">
        <v>10</v>
      </c>
      <c r="N13">
        <v>5</v>
      </c>
      <c r="O13">
        <v>20</v>
      </c>
      <c r="P13">
        <v>10</v>
      </c>
      <c r="Q13">
        <v>6</v>
      </c>
      <c r="R13">
        <v>22</v>
      </c>
      <c r="S13">
        <v>12</v>
      </c>
      <c r="T13">
        <v>5</v>
      </c>
      <c r="U13">
        <v>21</v>
      </c>
      <c r="V13">
        <v>10</v>
      </c>
      <c r="W13">
        <v>4</v>
      </c>
      <c r="X13">
        <v>20</v>
      </c>
      <c r="Y13">
        <v>10</v>
      </c>
      <c r="Z13">
        <v>0.8</v>
      </c>
    </row>
    <row r="14" spans="1:26" x14ac:dyDescent="0.25">
      <c r="D14" t="s">
        <v>389</v>
      </c>
      <c r="E14">
        <v>3</v>
      </c>
      <c r="F14">
        <v>18</v>
      </c>
      <c r="G14">
        <v>8</v>
      </c>
      <c r="H14">
        <v>5</v>
      </c>
      <c r="I14">
        <v>21</v>
      </c>
      <c r="J14">
        <v>10</v>
      </c>
      <c r="K14">
        <v>5</v>
      </c>
      <c r="L14">
        <v>21</v>
      </c>
      <c r="M14">
        <v>10</v>
      </c>
      <c r="N14">
        <v>4</v>
      </c>
      <c r="O14">
        <v>19</v>
      </c>
      <c r="P14">
        <v>10</v>
      </c>
      <c r="Q14">
        <v>5</v>
      </c>
      <c r="R14">
        <v>21</v>
      </c>
      <c r="S14">
        <v>11</v>
      </c>
      <c r="T14">
        <v>5</v>
      </c>
      <c r="U14">
        <v>21</v>
      </c>
      <c r="V14">
        <v>11</v>
      </c>
      <c r="W14">
        <v>4</v>
      </c>
      <c r="X14">
        <v>20</v>
      </c>
      <c r="Y14">
        <v>10</v>
      </c>
      <c r="Z14">
        <v>0.9</v>
      </c>
    </row>
    <row r="15" spans="1:26" x14ac:dyDescent="0.25">
      <c r="D15" t="s">
        <v>388</v>
      </c>
      <c r="E15">
        <v>3</v>
      </c>
      <c r="F15">
        <v>19</v>
      </c>
      <c r="G15">
        <v>9</v>
      </c>
      <c r="H15">
        <v>5</v>
      </c>
      <c r="I15">
        <v>20</v>
      </c>
      <c r="J15">
        <v>10</v>
      </c>
      <c r="K15">
        <v>5</v>
      </c>
      <c r="L15">
        <v>20</v>
      </c>
      <c r="M15">
        <v>10</v>
      </c>
      <c r="N15">
        <v>5</v>
      </c>
      <c r="O15">
        <v>21</v>
      </c>
      <c r="P15">
        <v>10</v>
      </c>
      <c r="Q15">
        <v>5</v>
      </c>
      <c r="R15">
        <v>21</v>
      </c>
      <c r="S15">
        <v>11</v>
      </c>
      <c r="T15">
        <v>5</v>
      </c>
      <c r="U15">
        <v>21</v>
      </c>
      <c r="V15">
        <v>11</v>
      </c>
      <c r="W15">
        <v>3</v>
      </c>
      <c r="X15">
        <v>19</v>
      </c>
      <c r="Y15">
        <v>9</v>
      </c>
      <c r="Z15">
        <v>0.9</v>
      </c>
    </row>
    <row r="16" spans="1:26" x14ac:dyDescent="0.25">
      <c r="D16" t="s">
        <v>42</v>
      </c>
      <c r="E16">
        <v>6</v>
      </c>
      <c r="F16">
        <v>22</v>
      </c>
      <c r="G16">
        <v>11</v>
      </c>
      <c r="H16">
        <v>3</v>
      </c>
      <c r="I16">
        <v>18</v>
      </c>
      <c r="J16">
        <v>9</v>
      </c>
      <c r="K16">
        <v>5</v>
      </c>
      <c r="L16">
        <v>21</v>
      </c>
      <c r="M16">
        <v>10</v>
      </c>
      <c r="N16">
        <v>8</v>
      </c>
      <c r="O16">
        <v>25</v>
      </c>
      <c r="P16">
        <v>13</v>
      </c>
      <c r="Q16">
        <v>3</v>
      </c>
      <c r="R16">
        <v>20</v>
      </c>
      <c r="S16">
        <v>9</v>
      </c>
      <c r="T16">
        <v>3</v>
      </c>
      <c r="U16">
        <v>18</v>
      </c>
      <c r="V16">
        <v>8</v>
      </c>
      <c r="W16">
        <v>3</v>
      </c>
      <c r="X16">
        <v>18</v>
      </c>
      <c r="Y16">
        <v>9</v>
      </c>
      <c r="Z16">
        <v>0.9</v>
      </c>
    </row>
    <row r="17" spans="1:26" x14ac:dyDescent="0.25">
      <c r="D17" t="s">
        <v>385</v>
      </c>
      <c r="E17">
        <v>6</v>
      </c>
      <c r="F17">
        <v>22</v>
      </c>
      <c r="G17">
        <v>11</v>
      </c>
      <c r="H17">
        <v>5</v>
      </c>
      <c r="I17">
        <v>20</v>
      </c>
      <c r="J17">
        <v>10</v>
      </c>
      <c r="K17">
        <v>5</v>
      </c>
      <c r="L17">
        <v>21</v>
      </c>
      <c r="M17">
        <v>10</v>
      </c>
      <c r="N17">
        <v>7</v>
      </c>
      <c r="O17">
        <v>23</v>
      </c>
      <c r="P17">
        <v>12</v>
      </c>
      <c r="Q17">
        <v>4</v>
      </c>
      <c r="R17">
        <v>20</v>
      </c>
      <c r="S17">
        <v>9</v>
      </c>
      <c r="T17">
        <v>4</v>
      </c>
      <c r="U17">
        <v>19</v>
      </c>
      <c r="V17">
        <v>9</v>
      </c>
      <c r="W17">
        <v>4</v>
      </c>
      <c r="X17">
        <v>19</v>
      </c>
      <c r="Y17">
        <v>9</v>
      </c>
      <c r="Z17">
        <v>1</v>
      </c>
    </row>
    <row r="18" spans="1:26" x14ac:dyDescent="0.25">
      <c r="D18" t="s">
        <v>43</v>
      </c>
      <c r="E18">
        <v>5</v>
      </c>
      <c r="F18">
        <v>20</v>
      </c>
      <c r="G18">
        <v>10</v>
      </c>
      <c r="H18">
        <v>5</v>
      </c>
      <c r="I18">
        <v>20</v>
      </c>
      <c r="J18">
        <v>10</v>
      </c>
      <c r="K18">
        <v>5</v>
      </c>
      <c r="L18">
        <v>20</v>
      </c>
      <c r="M18">
        <v>10</v>
      </c>
      <c r="N18">
        <v>5</v>
      </c>
      <c r="O18">
        <v>20</v>
      </c>
      <c r="P18">
        <v>10</v>
      </c>
      <c r="Q18">
        <v>5</v>
      </c>
      <c r="R18">
        <v>20</v>
      </c>
      <c r="S18">
        <v>10</v>
      </c>
      <c r="T18">
        <v>5</v>
      </c>
      <c r="U18">
        <v>20</v>
      </c>
      <c r="V18">
        <v>10</v>
      </c>
      <c r="W18">
        <v>5</v>
      </c>
      <c r="X18">
        <v>20</v>
      </c>
      <c r="Y18">
        <v>10</v>
      </c>
      <c r="Z18">
        <v>1</v>
      </c>
    </row>
    <row r="19" spans="1:26" x14ac:dyDescent="0.25">
      <c r="D19" t="s">
        <v>44</v>
      </c>
      <c r="E19">
        <v>3</v>
      </c>
      <c r="F19">
        <v>18</v>
      </c>
      <c r="G19">
        <v>9</v>
      </c>
      <c r="H19">
        <v>5</v>
      </c>
      <c r="I19">
        <v>21</v>
      </c>
      <c r="J19">
        <v>11</v>
      </c>
      <c r="K19">
        <v>5</v>
      </c>
      <c r="L19">
        <v>21</v>
      </c>
      <c r="M19">
        <v>10</v>
      </c>
      <c r="N19">
        <v>3</v>
      </c>
      <c r="O19">
        <v>16</v>
      </c>
      <c r="P19">
        <v>8</v>
      </c>
      <c r="Q19">
        <v>6</v>
      </c>
      <c r="R19">
        <v>22</v>
      </c>
      <c r="S19">
        <v>12</v>
      </c>
      <c r="T19">
        <v>5</v>
      </c>
      <c r="U19">
        <v>21</v>
      </c>
      <c r="V19">
        <v>11</v>
      </c>
      <c r="W19">
        <v>5</v>
      </c>
      <c r="X19">
        <v>21</v>
      </c>
      <c r="Y19">
        <v>10</v>
      </c>
      <c r="Z19">
        <v>1.1000000000000001</v>
      </c>
    </row>
    <row r="20" spans="1:26" x14ac:dyDescent="0.25">
      <c r="D20" t="s">
        <v>386</v>
      </c>
      <c r="E20">
        <v>3</v>
      </c>
      <c r="F20">
        <v>18</v>
      </c>
      <c r="G20">
        <v>9</v>
      </c>
      <c r="H20">
        <v>7</v>
      </c>
      <c r="I20">
        <v>23</v>
      </c>
      <c r="J20">
        <v>12</v>
      </c>
      <c r="K20">
        <v>6</v>
      </c>
      <c r="L20">
        <v>22</v>
      </c>
      <c r="M20">
        <v>11</v>
      </c>
      <c r="N20">
        <v>3</v>
      </c>
      <c r="O20">
        <v>16</v>
      </c>
      <c r="P20">
        <v>8</v>
      </c>
      <c r="Q20">
        <v>5</v>
      </c>
      <c r="R20">
        <v>20</v>
      </c>
      <c r="S20">
        <v>10</v>
      </c>
      <c r="T20">
        <v>5</v>
      </c>
      <c r="U20">
        <v>20</v>
      </c>
      <c r="V20">
        <v>10</v>
      </c>
      <c r="W20">
        <v>5</v>
      </c>
      <c r="X20">
        <v>20</v>
      </c>
      <c r="Y20">
        <v>10</v>
      </c>
      <c r="Z20">
        <v>1.1000000000000001</v>
      </c>
    </row>
    <row r="22" spans="1:26" x14ac:dyDescent="0.25">
      <c r="J22" t="s">
        <v>94</v>
      </c>
      <c r="K22" s="23">
        <v>0.5</v>
      </c>
      <c r="L22" s="24">
        <v>0.25</v>
      </c>
      <c r="M22" s="23">
        <v>0</v>
      </c>
    </row>
    <row r="23" spans="1:26" x14ac:dyDescent="0.25">
      <c r="A23" s="6" t="s">
        <v>51</v>
      </c>
      <c r="D23" s="6" t="s">
        <v>53</v>
      </c>
      <c r="E23" s="6" t="s">
        <v>2</v>
      </c>
      <c r="F23" s="6" t="s">
        <v>54</v>
      </c>
      <c r="G23" s="6" t="s">
        <v>55</v>
      </c>
      <c r="H23" s="6" t="s">
        <v>56</v>
      </c>
      <c r="J23" s="6" t="s">
        <v>80</v>
      </c>
      <c r="K23" s="6" t="s">
        <v>75</v>
      </c>
      <c r="L23" s="6" t="s">
        <v>76</v>
      </c>
      <c r="M23" s="6" t="s">
        <v>77</v>
      </c>
    </row>
    <row r="24" spans="1:26" x14ac:dyDescent="0.25">
      <c r="A24" t="s">
        <v>26</v>
      </c>
      <c r="D24" t="s">
        <v>67</v>
      </c>
      <c r="E24" t="s">
        <v>57</v>
      </c>
      <c r="F24">
        <v>4.5</v>
      </c>
      <c r="G24">
        <v>6.5</v>
      </c>
      <c r="H24">
        <v>0</v>
      </c>
      <c r="J24">
        <v>3.5</v>
      </c>
      <c r="K24" t="s">
        <v>81</v>
      </c>
      <c r="L24" t="s">
        <v>82</v>
      </c>
      <c r="M24" t="s">
        <v>82</v>
      </c>
    </row>
    <row r="25" spans="1:26" x14ac:dyDescent="0.25">
      <c r="A25" t="s">
        <v>27</v>
      </c>
      <c r="D25" t="s">
        <v>58</v>
      </c>
      <c r="E25" t="s">
        <v>59</v>
      </c>
      <c r="F25">
        <v>6</v>
      </c>
      <c r="G25">
        <v>0</v>
      </c>
      <c r="H25">
        <v>4</v>
      </c>
      <c r="J25">
        <v>4</v>
      </c>
      <c r="K25" t="s">
        <v>91</v>
      </c>
      <c r="L25" t="s">
        <v>91</v>
      </c>
      <c r="M25" t="s">
        <v>91</v>
      </c>
    </row>
    <row r="26" spans="1:26" x14ac:dyDescent="0.25">
      <c r="A26" t="s">
        <v>0</v>
      </c>
      <c r="J26">
        <v>4.5</v>
      </c>
      <c r="K26" t="s">
        <v>83</v>
      </c>
      <c r="L26" t="s">
        <v>88</v>
      </c>
      <c r="M26" t="s">
        <v>84</v>
      </c>
    </row>
    <row r="27" spans="1:26" x14ac:dyDescent="0.25">
      <c r="A27" t="s">
        <v>1</v>
      </c>
      <c r="J27">
        <v>5</v>
      </c>
      <c r="K27" t="s">
        <v>99</v>
      </c>
      <c r="L27" t="s">
        <v>99</v>
      </c>
      <c r="M27" t="s">
        <v>99</v>
      </c>
    </row>
    <row r="28" spans="1:26" x14ac:dyDescent="0.25">
      <c r="A28" t="s">
        <v>52</v>
      </c>
      <c r="J28">
        <v>5.5</v>
      </c>
      <c r="K28" t="s">
        <v>90</v>
      </c>
      <c r="L28" t="s">
        <v>89</v>
      </c>
      <c r="M28" t="s">
        <v>85</v>
      </c>
    </row>
    <row r="29" spans="1:26" x14ac:dyDescent="0.25">
      <c r="A29" t="s">
        <v>49</v>
      </c>
      <c r="J29">
        <v>6</v>
      </c>
      <c r="K29" t="s">
        <v>100</v>
      </c>
      <c r="L29" t="s">
        <v>100</v>
      </c>
      <c r="M29" t="s">
        <v>101</v>
      </c>
    </row>
    <row r="30" spans="1:26" x14ac:dyDescent="0.25">
      <c r="J30">
        <v>6.5</v>
      </c>
      <c r="K30" t="s">
        <v>95</v>
      </c>
      <c r="L30" t="s">
        <v>92</v>
      </c>
      <c r="M30" t="s">
        <v>86</v>
      </c>
    </row>
    <row r="31" spans="1:26" x14ac:dyDescent="0.25">
      <c r="J31">
        <v>7</v>
      </c>
      <c r="K31" t="s">
        <v>102</v>
      </c>
      <c r="L31" t="s">
        <v>103</v>
      </c>
      <c r="M31" t="s">
        <v>104</v>
      </c>
    </row>
    <row r="32" spans="1:26" x14ac:dyDescent="0.25">
      <c r="J32">
        <v>7.5</v>
      </c>
      <c r="K32" t="s">
        <v>96</v>
      </c>
      <c r="L32" t="s">
        <v>93</v>
      </c>
      <c r="M32" t="s">
        <v>105</v>
      </c>
    </row>
    <row r="33" spans="10:13" x14ac:dyDescent="0.25">
      <c r="J33">
        <v>8</v>
      </c>
      <c r="K33" t="s">
        <v>106</v>
      </c>
      <c r="L33" t="s">
        <v>107</v>
      </c>
      <c r="M33" t="s">
        <v>108</v>
      </c>
    </row>
    <row r="34" spans="10:13" x14ac:dyDescent="0.25">
      <c r="J34">
        <v>8.5</v>
      </c>
      <c r="K34" t="s">
        <v>97</v>
      </c>
      <c r="L34" t="s">
        <v>109</v>
      </c>
      <c r="M34" t="s">
        <v>110</v>
      </c>
    </row>
    <row r="35" spans="10:13" x14ac:dyDescent="0.25">
      <c r="J35">
        <v>9</v>
      </c>
      <c r="K35" t="s">
        <v>111</v>
      </c>
      <c r="L35" t="s">
        <v>112</v>
      </c>
      <c r="M35" t="s">
        <v>113</v>
      </c>
    </row>
    <row r="36" spans="10:13" x14ac:dyDescent="0.25">
      <c r="J36">
        <v>9.5</v>
      </c>
      <c r="K36" t="s">
        <v>98</v>
      </c>
      <c r="L36" t="s">
        <v>114</v>
      </c>
      <c r="M36" t="s">
        <v>115</v>
      </c>
    </row>
    <row r="37" spans="10:13" x14ac:dyDescent="0.25">
      <c r="J37">
        <v>10</v>
      </c>
      <c r="K37" t="s">
        <v>116</v>
      </c>
      <c r="L37" t="s">
        <v>117</v>
      </c>
      <c r="M37" t="s">
        <v>118</v>
      </c>
    </row>
    <row r="38" spans="10:13" x14ac:dyDescent="0.25">
      <c r="J38">
        <v>10.5</v>
      </c>
      <c r="K38" t="s">
        <v>119</v>
      </c>
      <c r="L38" t="s">
        <v>120</v>
      </c>
      <c r="M38" t="s">
        <v>87</v>
      </c>
    </row>
    <row r="39" spans="10:13" x14ac:dyDescent="0.25">
      <c r="J39">
        <v>11</v>
      </c>
      <c r="K39" t="s">
        <v>121</v>
      </c>
      <c r="L39" t="s">
        <v>122</v>
      </c>
      <c r="M39" t="s">
        <v>123</v>
      </c>
    </row>
    <row r="40" spans="10:13" x14ac:dyDescent="0.25">
      <c r="J40">
        <v>11.5</v>
      </c>
      <c r="K40" t="s">
        <v>124</v>
      </c>
      <c r="L40" t="s">
        <v>125</v>
      </c>
      <c r="M40" t="s">
        <v>126</v>
      </c>
    </row>
    <row r="41" spans="10:13" x14ac:dyDescent="0.25">
      <c r="J41">
        <v>12</v>
      </c>
      <c r="K41" t="s">
        <v>127</v>
      </c>
      <c r="L41" t="s">
        <v>128</v>
      </c>
      <c r="M41" t="s">
        <v>129</v>
      </c>
    </row>
    <row r="42" spans="10:13" x14ac:dyDescent="0.25">
      <c r="J42">
        <v>12.5</v>
      </c>
      <c r="K42" t="s">
        <v>130</v>
      </c>
      <c r="L42" t="s">
        <v>131</v>
      </c>
      <c r="M42" t="s">
        <v>132</v>
      </c>
    </row>
    <row r="43" spans="10:13" x14ac:dyDescent="0.25">
      <c r="J43">
        <v>13</v>
      </c>
      <c r="K43" t="s">
        <v>133</v>
      </c>
      <c r="L43" t="s">
        <v>134</v>
      </c>
      <c r="M43" t="s">
        <v>135</v>
      </c>
    </row>
    <row r="44" spans="10:13" x14ac:dyDescent="0.25">
      <c r="J44">
        <v>13.5</v>
      </c>
      <c r="K44" t="s">
        <v>136</v>
      </c>
      <c r="L44" t="s">
        <v>137</v>
      </c>
      <c r="M44" t="s">
        <v>138</v>
      </c>
    </row>
    <row r="45" spans="10:13" x14ac:dyDescent="0.25">
      <c r="J45">
        <v>14</v>
      </c>
      <c r="K45" t="s">
        <v>139</v>
      </c>
      <c r="L45" t="s">
        <v>140</v>
      </c>
      <c r="M45" t="s">
        <v>141</v>
      </c>
    </row>
    <row r="46" spans="10:13" x14ac:dyDescent="0.25">
      <c r="J46">
        <v>14.5</v>
      </c>
      <c r="K46" t="s">
        <v>142</v>
      </c>
      <c r="L46" t="s">
        <v>143</v>
      </c>
      <c r="M46" t="s">
        <v>144</v>
      </c>
    </row>
    <row r="47" spans="10:13" x14ac:dyDescent="0.25">
      <c r="J47">
        <v>15</v>
      </c>
      <c r="K47" t="s">
        <v>145</v>
      </c>
      <c r="L47" t="s">
        <v>146</v>
      </c>
      <c r="M47" t="s">
        <v>147</v>
      </c>
    </row>
    <row r="48" spans="10:13" x14ac:dyDescent="0.25">
      <c r="J48">
        <v>15.5</v>
      </c>
      <c r="K48" t="s">
        <v>148</v>
      </c>
      <c r="L48" t="s">
        <v>149</v>
      </c>
      <c r="M48" t="s">
        <v>150</v>
      </c>
    </row>
    <row r="49" spans="10:13" x14ac:dyDescent="0.25">
      <c r="J49">
        <v>16</v>
      </c>
      <c r="K49" t="s">
        <v>151</v>
      </c>
      <c r="L49" t="s">
        <v>152</v>
      </c>
      <c r="M49" t="s">
        <v>153</v>
      </c>
    </row>
    <row r="50" spans="10:13" x14ac:dyDescent="0.25">
      <c r="J50">
        <v>16.5</v>
      </c>
      <c r="K50" t="s">
        <v>154</v>
      </c>
      <c r="L50" t="s">
        <v>155</v>
      </c>
      <c r="M50" t="s">
        <v>156</v>
      </c>
    </row>
    <row r="51" spans="10:13" x14ac:dyDescent="0.25">
      <c r="J51">
        <v>17</v>
      </c>
      <c r="K51" t="s">
        <v>157</v>
      </c>
      <c r="L51" t="s">
        <v>158</v>
      </c>
      <c r="M51" t="s">
        <v>159</v>
      </c>
    </row>
    <row r="52" spans="10:13" x14ac:dyDescent="0.25">
      <c r="J52">
        <v>17.5</v>
      </c>
      <c r="K52" t="s">
        <v>160</v>
      </c>
      <c r="L52" t="s">
        <v>161</v>
      </c>
      <c r="M52" t="s">
        <v>162</v>
      </c>
    </row>
    <row r="53" spans="10:13" x14ac:dyDescent="0.25">
      <c r="J53">
        <v>18</v>
      </c>
      <c r="K53" t="s">
        <v>163</v>
      </c>
      <c r="L53" t="s">
        <v>164</v>
      </c>
      <c r="M53" t="s">
        <v>165</v>
      </c>
    </row>
    <row r="54" spans="10:13" x14ac:dyDescent="0.25">
      <c r="J54">
        <v>18.5</v>
      </c>
      <c r="K54" t="s">
        <v>166</v>
      </c>
      <c r="L54" t="s">
        <v>167</v>
      </c>
      <c r="M54" t="s">
        <v>168</v>
      </c>
    </row>
    <row r="55" spans="10:13" x14ac:dyDescent="0.25">
      <c r="J55">
        <v>19</v>
      </c>
      <c r="K55" t="s">
        <v>169</v>
      </c>
      <c r="L55" t="s">
        <v>170</v>
      </c>
      <c r="M55" t="s">
        <v>171</v>
      </c>
    </row>
    <row r="56" spans="10:13" x14ac:dyDescent="0.25">
      <c r="J56">
        <v>19.5</v>
      </c>
      <c r="K56" t="s">
        <v>172</v>
      </c>
      <c r="L56" t="s">
        <v>173</v>
      </c>
      <c r="M56" t="s">
        <v>174</v>
      </c>
    </row>
    <row r="57" spans="10:13" x14ac:dyDescent="0.25">
      <c r="J57">
        <v>20</v>
      </c>
      <c r="K57" t="s">
        <v>175</v>
      </c>
      <c r="L57" t="s">
        <v>176</v>
      </c>
      <c r="M57" t="s">
        <v>177</v>
      </c>
    </row>
    <row r="58" spans="10:13" x14ac:dyDescent="0.25">
      <c r="J58">
        <v>20.5</v>
      </c>
      <c r="K58" t="s">
        <v>178</v>
      </c>
      <c r="L58" t="s">
        <v>179</v>
      </c>
      <c r="M58" t="s">
        <v>180</v>
      </c>
    </row>
    <row r="59" spans="10:13" x14ac:dyDescent="0.25">
      <c r="J59">
        <v>21</v>
      </c>
      <c r="K59" t="s">
        <v>181</v>
      </c>
      <c r="L59" t="s">
        <v>182</v>
      </c>
      <c r="M59" t="s">
        <v>183</v>
      </c>
    </row>
    <row r="60" spans="10:13" x14ac:dyDescent="0.25">
      <c r="J60">
        <v>21.5</v>
      </c>
      <c r="K60" t="s">
        <v>184</v>
      </c>
      <c r="L60" t="s">
        <v>185</v>
      </c>
      <c r="M60" t="s">
        <v>186</v>
      </c>
    </row>
    <row r="61" spans="10:13" x14ac:dyDescent="0.25">
      <c r="J61">
        <v>22</v>
      </c>
      <c r="K61" t="s">
        <v>187</v>
      </c>
      <c r="L61" t="s">
        <v>188</v>
      </c>
      <c r="M61" t="s">
        <v>189</v>
      </c>
    </row>
    <row r="62" spans="10:13" x14ac:dyDescent="0.25">
      <c r="J62">
        <v>22.5</v>
      </c>
      <c r="K62" t="s">
        <v>190</v>
      </c>
      <c r="L62" t="s">
        <v>191</v>
      </c>
      <c r="M62" t="s">
        <v>192</v>
      </c>
    </row>
    <row r="63" spans="10:13" x14ac:dyDescent="0.25">
      <c r="J63">
        <v>23</v>
      </c>
      <c r="K63" t="s">
        <v>193</v>
      </c>
      <c r="L63" t="s">
        <v>194</v>
      </c>
      <c r="M63" t="s">
        <v>195</v>
      </c>
    </row>
    <row r="64" spans="10:13" x14ac:dyDescent="0.25">
      <c r="J64">
        <v>23.5</v>
      </c>
      <c r="K64" t="s">
        <v>196</v>
      </c>
      <c r="L64" t="s">
        <v>197</v>
      </c>
      <c r="M64" t="s">
        <v>198</v>
      </c>
    </row>
    <row r="65" spans="10:13" x14ac:dyDescent="0.25">
      <c r="J65">
        <v>24</v>
      </c>
      <c r="K65" t="s">
        <v>199</v>
      </c>
      <c r="L65" t="s">
        <v>200</v>
      </c>
      <c r="M65" t="s">
        <v>201</v>
      </c>
    </row>
    <row r="66" spans="10:13" x14ac:dyDescent="0.25">
      <c r="J66">
        <v>24.5</v>
      </c>
      <c r="K66" t="s">
        <v>202</v>
      </c>
      <c r="L66" t="s">
        <v>203</v>
      </c>
      <c r="M66" t="s">
        <v>204</v>
      </c>
    </row>
    <row r="67" spans="10:13" x14ac:dyDescent="0.25">
      <c r="J67">
        <v>25</v>
      </c>
      <c r="K67" t="s">
        <v>205</v>
      </c>
      <c r="L67" t="s">
        <v>206</v>
      </c>
      <c r="M67" t="s">
        <v>207</v>
      </c>
    </row>
    <row r="68" spans="10:13" x14ac:dyDescent="0.25">
      <c r="J68">
        <v>25.5</v>
      </c>
      <c r="K68" t="s">
        <v>208</v>
      </c>
      <c r="L68" t="s">
        <v>209</v>
      </c>
      <c r="M68" t="s">
        <v>210</v>
      </c>
    </row>
    <row r="69" spans="10:13" x14ac:dyDescent="0.25">
      <c r="J69">
        <v>26</v>
      </c>
      <c r="K69" t="s">
        <v>211</v>
      </c>
      <c r="L69" t="s">
        <v>212</v>
      </c>
      <c r="M69" t="s">
        <v>213</v>
      </c>
    </row>
    <row r="70" spans="10:13" x14ac:dyDescent="0.25">
      <c r="J70">
        <v>26.5</v>
      </c>
      <c r="K70" t="s">
        <v>214</v>
      </c>
      <c r="L70" t="s">
        <v>215</v>
      </c>
      <c r="M70" t="s">
        <v>216</v>
      </c>
    </row>
    <row r="71" spans="10:13" x14ac:dyDescent="0.25">
      <c r="J71">
        <v>27</v>
      </c>
      <c r="K71" t="s">
        <v>217</v>
      </c>
      <c r="L71" t="s">
        <v>218</v>
      </c>
      <c r="M71" t="s">
        <v>219</v>
      </c>
    </row>
    <row r="72" spans="10:13" x14ac:dyDescent="0.25">
      <c r="J72">
        <v>27.5</v>
      </c>
      <c r="K72" t="s">
        <v>220</v>
      </c>
      <c r="L72" t="s">
        <v>221</v>
      </c>
      <c r="M72" t="s">
        <v>222</v>
      </c>
    </row>
    <row r="73" spans="10:13" x14ac:dyDescent="0.25">
      <c r="J73">
        <v>28</v>
      </c>
      <c r="K73" t="s">
        <v>223</v>
      </c>
      <c r="L73" t="s">
        <v>224</v>
      </c>
      <c r="M73" t="s">
        <v>225</v>
      </c>
    </row>
    <row r="74" spans="10:13" x14ac:dyDescent="0.25">
      <c r="J74">
        <v>28.5</v>
      </c>
      <c r="K74" t="s">
        <v>226</v>
      </c>
      <c r="L74" t="s">
        <v>227</v>
      </c>
      <c r="M74" t="s">
        <v>228</v>
      </c>
    </row>
    <row r="75" spans="10:13" x14ac:dyDescent="0.25">
      <c r="J75">
        <v>29</v>
      </c>
      <c r="K75" t="s">
        <v>229</v>
      </c>
      <c r="L75" t="s">
        <v>230</v>
      </c>
      <c r="M75" t="s">
        <v>231</v>
      </c>
    </row>
    <row r="76" spans="10:13" x14ac:dyDescent="0.25">
      <c r="J76">
        <v>29.5</v>
      </c>
      <c r="K76" t="s">
        <v>232</v>
      </c>
      <c r="L76" t="s">
        <v>233</v>
      </c>
      <c r="M76" t="s">
        <v>234</v>
      </c>
    </row>
    <row r="77" spans="10:13" x14ac:dyDescent="0.25">
      <c r="J77">
        <v>30</v>
      </c>
      <c r="K77" t="s">
        <v>235</v>
      </c>
      <c r="L77" t="s">
        <v>236</v>
      </c>
      <c r="M77" t="s">
        <v>237</v>
      </c>
    </row>
    <row r="78" spans="10:13" x14ac:dyDescent="0.25">
      <c r="J78">
        <v>30.5</v>
      </c>
      <c r="K78" t="s">
        <v>238</v>
      </c>
      <c r="L78" t="s">
        <v>239</v>
      </c>
      <c r="M78" t="s">
        <v>240</v>
      </c>
    </row>
    <row r="79" spans="10:13" x14ac:dyDescent="0.25">
      <c r="J79">
        <v>31</v>
      </c>
      <c r="K79" t="s">
        <v>241</v>
      </c>
      <c r="L79" t="s">
        <v>242</v>
      </c>
      <c r="M79" t="s">
        <v>243</v>
      </c>
    </row>
    <row r="80" spans="10:13" x14ac:dyDescent="0.25">
      <c r="J80">
        <v>31.5</v>
      </c>
      <c r="K80" t="s">
        <v>244</v>
      </c>
      <c r="L80" t="s">
        <v>245</v>
      </c>
      <c r="M80" t="s">
        <v>246</v>
      </c>
    </row>
    <row r="81" spans="10:13" x14ac:dyDescent="0.25">
      <c r="J81">
        <v>32</v>
      </c>
      <c r="K81" t="s">
        <v>247</v>
      </c>
      <c r="L81" t="s">
        <v>248</v>
      </c>
      <c r="M81" t="s">
        <v>249</v>
      </c>
    </row>
    <row r="82" spans="10:13" x14ac:dyDescent="0.25">
      <c r="J82">
        <v>32.5</v>
      </c>
      <c r="K82" t="s">
        <v>250</v>
      </c>
      <c r="L82" t="s">
        <v>251</v>
      </c>
      <c r="M82" t="s">
        <v>252</v>
      </c>
    </row>
    <row r="83" spans="10:13" x14ac:dyDescent="0.25">
      <c r="J83">
        <v>33</v>
      </c>
      <c r="K83" t="s">
        <v>253</v>
      </c>
      <c r="L83" t="s">
        <v>254</v>
      </c>
      <c r="M83" t="s">
        <v>255</v>
      </c>
    </row>
    <row r="84" spans="10:13" x14ac:dyDescent="0.25">
      <c r="J84">
        <v>33.5</v>
      </c>
      <c r="K84" t="s">
        <v>256</v>
      </c>
      <c r="L84" t="s">
        <v>257</v>
      </c>
      <c r="M84" t="s">
        <v>258</v>
      </c>
    </row>
    <row r="85" spans="10:13" x14ac:dyDescent="0.25">
      <c r="J85">
        <v>34</v>
      </c>
      <c r="K85" t="s">
        <v>259</v>
      </c>
      <c r="L85" t="s">
        <v>260</v>
      </c>
      <c r="M85" t="s">
        <v>261</v>
      </c>
    </row>
    <row r="86" spans="10:13" x14ac:dyDescent="0.25">
      <c r="J86">
        <v>34.5</v>
      </c>
      <c r="K86" t="s">
        <v>262</v>
      </c>
      <c r="L86" t="s">
        <v>263</v>
      </c>
      <c r="M86" t="s">
        <v>264</v>
      </c>
    </row>
    <row r="87" spans="10:13" x14ac:dyDescent="0.25">
      <c r="J87">
        <v>35</v>
      </c>
      <c r="K87" t="s">
        <v>265</v>
      </c>
      <c r="L87" t="s">
        <v>266</v>
      </c>
      <c r="M87" t="s">
        <v>267</v>
      </c>
    </row>
    <row r="88" spans="10:13" x14ac:dyDescent="0.25">
      <c r="J88">
        <v>35.5</v>
      </c>
      <c r="K88" t="s">
        <v>268</v>
      </c>
      <c r="L88" t="s">
        <v>269</v>
      </c>
      <c r="M88" t="s">
        <v>270</v>
      </c>
    </row>
    <row r="89" spans="10:13" x14ac:dyDescent="0.25">
      <c r="J89">
        <v>36</v>
      </c>
      <c r="K89" t="s">
        <v>271</v>
      </c>
      <c r="L89" t="s">
        <v>272</v>
      </c>
      <c r="M89" t="s">
        <v>273</v>
      </c>
    </row>
    <row r="90" spans="10:13" x14ac:dyDescent="0.25">
      <c r="J90">
        <v>36.5</v>
      </c>
      <c r="K90" t="s">
        <v>274</v>
      </c>
      <c r="L90" t="s">
        <v>275</v>
      </c>
      <c r="M90" t="s">
        <v>276</v>
      </c>
    </row>
    <row r="91" spans="10:13" x14ac:dyDescent="0.25">
      <c r="J91">
        <v>37</v>
      </c>
      <c r="K91" t="s">
        <v>277</v>
      </c>
      <c r="L91" t="s">
        <v>278</v>
      </c>
      <c r="M91" t="s">
        <v>279</v>
      </c>
    </row>
    <row r="92" spans="10:13" x14ac:dyDescent="0.25">
      <c r="J92">
        <v>37.5</v>
      </c>
      <c r="K92" t="s">
        <v>280</v>
      </c>
      <c r="L92" t="s">
        <v>281</v>
      </c>
      <c r="M92" t="s">
        <v>282</v>
      </c>
    </row>
    <row r="93" spans="10:13" x14ac:dyDescent="0.25">
      <c r="J93">
        <v>38</v>
      </c>
      <c r="K93" t="s">
        <v>283</v>
      </c>
      <c r="L93" t="s">
        <v>284</v>
      </c>
      <c r="M93" t="s">
        <v>285</v>
      </c>
    </row>
    <row r="94" spans="10:13" x14ac:dyDescent="0.25">
      <c r="J94">
        <v>38.5</v>
      </c>
      <c r="K94" t="s">
        <v>286</v>
      </c>
      <c r="L94" t="s">
        <v>287</v>
      </c>
      <c r="M94" t="s">
        <v>288</v>
      </c>
    </row>
    <row r="95" spans="10:13" x14ac:dyDescent="0.25">
      <c r="J95">
        <v>39</v>
      </c>
      <c r="K95" t="s">
        <v>289</v>
      </c>
      <c r="L95" t="s">
        <v>290</v>
      </c>
      <c r="M95" t="s">
        <v>291</v>
      </c>
    </row>
    <row r="96" spans="10:13" x14ac:dyDescent="0.25">
      <c r="J96">
        <v>39.5</v>
      </c>
      <c r="K96" t="s">
        <v>292</v>
      </c>
      <c r="L96" t="s">
        <v>293</v>
      </c>
      <c r="M96" t="s">
        <v>294</v>
      </c>
    </row>
    <row r="97" spans="10:13" x14ac:dyDescent="0.25">
      <c r="J97">
        <v>40</v>
      </c>
      <c r="K97" t="s">
        <v>295</v>
      </c>
      <c r="L97" t="s">
        <v>296</v>
      </c>
      <c r="M97" t="s">
        <v>297</v>
      </c>
    </row>
    <row r="98" spans="10:13" x14ac:dyDescent="0.25">
      <c r="J98">
        <v>40.5</v>
      </c>
      <c r="K98" t="s">
        <v>298</v>
      </c>
      <c r="L98" t="s">
        <v>299</v>
      </c>
      <c r="M98" t="s">
        <v>300</v>
      </c>
    </row>
    <row r="99" spans="10:13" x14ac:dyDescent="0.25">
      <c r="J99">
        <v>41</v>
      </c>
      <c r="K99" t="s">
        <v>301</v>
      </c>
      <c r="L99" t="s">
        <v>302</v>
      </c>
      <c r="M99" t="s">
        <v>303</v>
      </c>
    </row>
    <row r="100" spans="10:13" x14ac:dyDescent="0.25">
      <c r="J100">
        <v>41.5</v>
      </c>
      <c r="K100" t="s">
        <v>304</v>
      </c>
      <c r="L100" t="s">
        <v>305</v>
      </c>
      <c r="M100" t="s">
        <v>306</v>
      </c>
    </row>
    <row r="101" spans="10:13" x14ac:dyDescent="0.25">
      <c r="J101">
        <v>42</v>
      </c>
      <c r="K101" t="s">
        <v>307</v>
      </c>
      <c r="L101" t="s">
        <v>308</v>
      </c>
      <c r="M101" t="s">
        <v>309</v>
      </c>
    </row>
    <row r="102" spans="10:13" x14ac:dyDescent="0.25">
      <c r="J102">
        <v>42.5</v>
      </c>
      <c r="K102" t="s">
        <v>310</v>
      </c>
      <c r="L102" t="s">
        <v>311</v>
      </c>
      <c r="M102" t="s">
        <v>312</v>
      </c>
    </row>
    <row r="103" spans="10:13" x14ac:dyDescent="0.25">
      <c r="J103">
        <v>43</v>
      </c>
      <c r="K103" t="s">
        <v>313</v>
      </c>
      <c r="L103" t="s">
        <v>314</v>
      </c>
      <c r="M103" t="s">
        <v>315</v>
      </c>
    </row>
    <row r="104" spans="10:13" x14ac:dyDescent="0.25">
      <c r="J104">
        <v>43.5</v>
      </c>
      <c r="K104" t="s">
        <v>316</v>
      </c>
      <c r="L104" t="s">
        <v>317</v>
      </c>
      <c r="M104" t="s">
        <v>318</v>
      </c>
    </row>
    <row r="105" spans="10:13" x14ac:dyDescent="0.25">
      <c r="J105">
        <v>44</v>
      </c>
      <c r="K105" t="s">
        <v>319</v>
      </c>
      <c r="L105" t="s">
        <v>320</v>
      </c>
      <c r="M105" t="s">
        <v>321</v>
      </c>
    </row>
    <row r="106" spans="10:13" x14ac:dyDescent="0.25">
      <c r="J106">
        <v>44.5</v>
      </c>
      <c r="K106" t="s">
        <v>322</v>
      </c>
      <c r="L106" t="s">
        <v>323</v>
      </c>
      <c r="M106" t="s">
        <v>324</v>
      </c>
    </row>
    <row r="107" spans="10:13" x14ac:dyDescent="0.25">
      <c r="J107">
        <v>45</v>
      </c>
      <c r="K107" t="s">
        <v>325</v>
      </c>
      <c r="L107" t="s">
        <v>326</v>
      </c>
      <c r="M107" t="s">
        <v>327</v>
      </c>
    </row>
    <row r="108" spans="10:13" x14ac:dyDescent="0.25">
      <c r="J108">
        <v>45.5</v>
      </c>
      <c r="K108" t="s">
        <v>328</v>
      </c>
      <c r="L108" t="s">
        <v>329</v>
      </c>
      <c r="M108" t="s">
        <v>330</v>
      </c>
    </row>
    <row r="109" spans="10:13" x14ac:dyDescent="0.25">
      <c r="J109">
        <v>46</v>
      </c>
      <c r="K109" t="s">
        <v>331</v>
      </c>
      <c r="L109" t="s">
        <v>332</v>
      </c>
      <c r="M109" t="s">
        <v>333</v>
      </c>
    </row>
    <row r="110" spans="10:13" x14ac:dyDescent="0.25">
      <c r="J110">
        <v>46.5</v>
      </c>
      <c r="K110" t="s">
        <v>334</v>
      </c>
      <c r="L110" t="s">
        <v>335</v>
      </c>
      <c r="M110" t="s">
        <v>336</v>
      </c>
    </row>
    <row r="111" spans="10:13" x14ac:dyDescent="0.25">
      <c r="J111">
        <v>47</v>
      </c>
      <c r="K111" t="s">
        <v>337</v>
      </c>
      <c r="L111" t="s">
        <v>338</v>
      </c>
      <c r="M111" t="s">
        <v>339</v>
      </c>
    </row>
    <row r="112" spans="10:13" x14ac:dyDescent="0.25">
      <c r="J112">
        <v>47.5</v>
      </c>
      <c r="K112" t="s">
        <v>340</v>
      </c>
      <c r="L112" t="s">
        <v>341</v>
      </c>
      <c r="M112" t="s">
        <v>342</v>
      </c>
    </row>
    <row r="113" spans="10:13" x14ac:dyDescent="0.25">
      <c r="J113">
        <v>48</v>
      </c>
      <c r="K113" t="s">
        <v>343</v>
      </c>
      <c r="L113" t="s">
        <v>344</v>
      </c>
      <c r="M113" t="s">
        <v>345</v>
      </c>
    </row>
    <row r="114" spans="10:13" x14ac:dyDescent="0.25">
      <c r="J114">
        <v>48.5</v>
      </c>
      <c r="K114" t="s">
        <v>346</v>
      </c>
      <c r="L114" t="s">
        <v>347</v>
      </c>
      <c r="M114" t="s">
        <v>348</v>
      </c>
    </row>
    <row r="115" spans="10:13" x14ac:dyDescent="0.25">
      <c r="J115">
        <v>49</v>
      </c>
      <c r="K115" t="s">
        <v>349</v>
      </c>
      <c r="L115" t="s">
        <v>350</v>
      </c>
      <c r="M115" t="s">
        <v>351</v>
      </c>
    </row>
    <row r="116" spans="10:13" x14ac:dyDescent="0.25">
      <c r="J116">
        <v>49.5</v>
      </c>
      <c r="K116" t="s">
        <v>352</v>
      </c>
      <c r="L116" t="s">
        <v>353</v>
      </c>
      <c r="M116" t="s">
        <v>354</v>
      </c>
    </row>
    <row r="117" spans="10:13" x14ac:dyDescent="0.25">
      <c r="J117">
        <v>50</v>
      </c>
      <c r="K117" t="s">
        <v>355</v>
      </c>
      <c r="L117" t="s">
        <v>356</v>
      </c>
      <c r="M117" t="s">
        <v>357</v>
      </c>
    </row>
    <row r="118" spans="10:13" x14ac:dyDescent="0.25">
      <c r="J118">
        <v>50.5</v>
      </c>
      <c r="K118" t="s">
        <v>358</v>
      </c>
      <c r="L118" t="s">
        <v>359</v>
      </c>
      <c r="M118" t="s">
        <v>360</v>
      </c>
    </row>
    <row r="119" spans="10:13" x14ac:dyDescent="0.25">
      <c r="J119">
        <v>51</v>
      </c>
      <c r="K119" t="s">
        <v>361</v>
      </c>
      <c r="L119" t="s">
        <v>362</v>
      </c>
      <c r="M119" t="s">
        <v>363</v>
      </c>
    </row>
    <row r="120" spans="10:13" x14ac:dyDescent="0.25">
      <c r="J120">
        <v>51.5</v>
      </c>
      <c r="K120" t="s">
        <v>364</v>
      </c>
      <c r="L120" t="s">
        <v>365</v>
      </c>
      <c r="M120" t="s">
        <v>366</v>
      </c>
    </row>
    <row r="121" spans="10:13" x14ac:dyDescent="0.25">
      <c r="J121">
        <v>52</v>
      </c>
      <c r="K121" t="s">
        <v>367</v>
      </c>
      <c r="L121" t="s">
        <v>368</v>
      </c>
      <c r="M121" t="s">
        <v>369</v>
      </c>
    </row>
    <row r="122" spans="10:13" x14ac:dyDescent="0.25">
      <c r="J122">
        <v>52.5</v>
      </c>
      <c r="K122" t="s">
        <v>370</v>
      </c>
      <c r="L122" t="s">
        <v>371</v>
      </c>
      <c r="M122" t="s">
        <v>372</v>
      </c>
    </row>
    <row r="123" spans="10:13" x14ac:dyDescent="0.25">
      <c r="J123">
        <v>53</v>
      </c>
      <c r="K123" t="s">
        <v>373</v>
      </c>
      <c r="L123" t="s">
        <v>374</v>
      </c>
      <c r="M123" t="s">
        <v>375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RevNotes</vt:lpstr>
      <vt:lpstr>MechNotes</vt:lpstr>
      <vt:lpstr>Summary</vt:lpstr>
      <vt:lpstr>Stats</vt:lpstr>
      <vt:lpstr>Weapons</vt:lpstr>
      <vt:lpstr>Skills</vt:lpstr>
      <vt:lpstr>Equipment</vt:lpstr>
      <vt:lpstr>Ledger</vt:lpstr>
      <vt:lpstr>Notes</vt:lpstr>
      <vt:lpstr>Tables</vt:lpstr>
      <vt:lpstr>Tables!die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2014-12-10T19:07:31Z</dcterms:modified>
</cp:coreProperties>
</file>