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8" windowWidth="14808" windowHeight="7956" activeTab="2"/>
  </bookViews>
  <sheets>
    <sheet name="RevNotes" sheetId="6" r:id="rId1"/>
    <sheet name="MechNotes" sheetId="1" r:id="rId2"/>
    <sheet name="Stats" sheetId="2" r:id="rId3"/>
    <sheet name="Weapons" sheetId="7" r:id="rId4"/>
    <sheet name="Spells" sheetId="9" r:id="rId5"/>
    <sheet name="Skills" sheetId="8" r:id="rId6"/>
    <sheet name="Ledger" sheetId="5" r:id="rId7"/>
    <sheet name="Notes" sheetId="3" r:id="rId8"/>
    <sheet name="Tables" sheetId="4" r:id="rId9"/>
  </sheets>
  <functionGroups builtInGroupCount="17"/>
  <definedNames>
    <definedName name="die" localSheetId="8">Tables!$U$4:$X$103</definedName>
  </definedNames>
  <calcPr calcId="145621"/>
</workbook>
</file>

<file path=xl/calcChain.xml><?xml version="1.0" encoding="utf-8"?>
<calcChain xmlns="http://schemas.openxmlformats.org/spreadsheetml/2006/main">
  <c r="I18" i="5" l="1"/>
  <c r="H18" i="5"/>
  <c r="D5" i="7"/>
  <c r="B5" i="7"/>
  <c r="I4" i="2"/>
  <c r="I5" i="2"/>
  <c r="I6" i="2"/>
  <c r="B4" i="9"/>
  <c r="B4" i="8"/>
  <c r="D4" i="7"/>
  <c r="B4" i="7"/>
  <c r="H17" i="5"/>
  <c r="H16" i="5"/>
  <c r="H15" i="5"/>
  <c r="H13" i="5"/>
  <c r="H12" i="5"/>
  <c r="H11" i="5"/>
  <c r="H10" i="5"/>
  <c r="H9" i="5"/>
  <c r="H8" i="5"/>
  <c r="H7" i="5"/>
  <c r="H6" i="5"/>
  <c r="H5" i="5"/>
  <c r="H4" i="5"/>
  <c r="H14" i="5"/>
  <c r="I17" i="5"/>
  <c r="I16" i="5"/>
  <c r="I15" i="5"/>
  <c r="C5" i="7"/>
  <c r="K5" i="7" s="1"/>
  <c r="N5" i="2"/>
  <c r="C4" i="9"/>
  <c r="C4" i="8"/>
  <c r="C4" i="7"/>
  <c r="K4" i="7"/>
  <c r="I4" i="7"/>
  <c r="J4" i="7" s="1"/>
  <c r="I5" i="7"/>
  <c r="J5" i="7" s="1"/>
  <c r="N3" i="2" l="1"/>
  <c r="I14" i="5"/>
  <c r="I13" i="5"/>
  <c r="I12" i="5"/>
  <c r="I11" i="5"/>
  <c r="I10" i="5"/>
  <c r="C16" i="2" s="1"/>
  <c r="I9" i="5"/>
  <c r="C15" i="2" s="1"/>
  <c r="I8" i="5"/>
  <c r="C14" i="2" s="1"/>
  <c r="I7" i="5"/>
  <c r="C13" i="2" s="1"/>
  <c r="I6" i="5"/>
  <c r="I5" i="5"/>
  <c r="C11" i="2" s="1"/>
  <c r="I4" i="5"/>
  <c r="C10" i="2" l="1"/>
  <c r="G13" i="2" s="1"/>
  <c r="H6" i="2"/>
  <c r="J6" i="2" s="1"/>
  <c r="H5" i="2"/>
  <c r="J5" i="2" s="1"/>
  <c r="H4" i="2"/>
  <c r="J4" i="2" s="1"/>
  <c r="C12" i="2"/>
  <c r="G16" i="2"/>
  <c r="G11" i="2"/>
  <c r="N7" i="2"/>
  <c r="N6" i="2"/>
  <c r="N9" i="2"/>
  <c r="N8" i="2"/>
  <c r="N4" i="2"/>
  <c r="N10" i="2"/>
  <c r="G15" i="2" l="1"/>
  <c r="G14" i="2"/>
  <c r="K10" i="2"/>
  <c r="G12" i="2"/>
  <c r="E5" i="7"/>
  <c r="E4" i="7"/>
  <c r="F5" i="7"/>
  <c r="G5" i="7"/>
  <c r="H5" i="7"/>
  <c r="F4" i="7"/>
  <c r="G4" i="7"/>
  <c r="H4" i="7"/>
</calcChain>
</file>

<file path=xl/connections.xml><?xml version="1.0" encoding="utf-8"?>
<connections xmlns="http://schemas.openxmlformats.org/spreadsheetml/2006/main">
  <connection id="1" name="die" type="6" refreshedVersion="4" background="1" saveData="1">
    <textPr codePage="1257" sourceFile="C:\Users\Gregory_Althaus\Documents\die.csv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<sst xmlns="http://schemas.openxmlformats.org/spreadsheetml/2006/main" count="527" uniqueCount="399">
  <si>
    <t>Primary</t>
  </si>
  <si>
    <t>Secondary</t>
  </si>
  <si>
    <t>Alertness</t>
  </si>
  <si>
    <t>Magic</t>
  </si>
  <si>
    <t>Skill</t>
  </si>
  <si>
    <t>Type</t>
  </si>
  <si>
    <t>Name</t>
  </si>
  <si>
    <t>Race</t>
  </si>
  <si>
    <t>Magic Type</t>
  </si>
  <si>
    <t>Talent</t>
  </si>
  <si>
    <t>Mentalist</t>
  </si>
  <si>
    <t>Wizard</t>
  </si>
  <si>
    <t>Hide</t>
  </si>
  <si>
    <t>Date</t>
  </si>
  <si>
    <t>Action</t>
  </si>
  <si>
    <t>Attributes</t>
  </si>
  <si>
    <t>Sub-Type</t>
  </si>
  <si>
    <t>Value</t>
  </si>
  <si>
    <t>Notes</t>
  </si>
  <si>
    <t>SP Cost</t>
  </si>
  <si>
    <t>In Time View?</t>
  </si>
  <si>
    <t>Buy</t>
  </si>
  <si>
    <t>Strength</t>
  </si>
  <si>
    <t>Initial Spend</t>
  </si>
  <si>
    <t>Dexterity</t>
  </si>
  <si>
    <t>Endurance</t>
  </si>
  <si>
    <t>Willpower</t>
  </si>
  <si>
    <t>Intelligence</t>
  </si>
  <si>
    <t>Agility</t>
  </si>
  <si>
    <t>Appearance</t>
  </si>
  <si>
    <t>Cost</t>
  </si>
  <si>
    <t>Actions</t>
  </si>
  <si>
    <t>Base Damage</t>
  </si>
  <si>
    <t>Base ToHit</t>
  </si>
  <si>
    <t>Max Spell Level</t>
  </si>
  <si>
    <t>Base ToHit Bonus</t>
  </si>
  <si>
    <t>Cory</t>
  </si>
  <si>
    <t>Hobbit</t>
  </si>
  <si>
    <t>Attribute</t>
  </si>
  <si>
    <t>SLP Bonus</t>
  </si>
  <si>
    <t>Base Defense</t>
  </si>
  <si>
    <t>Tertiary</t>
  </si>
  <si>
    <t>ToHit</t>
  </si>
  <si>
    <t>Class</t>
  </si>
  <si>
    <t>StrMin</t>
  </si>
  <si>
    <t>StrMax</t>
  </si>
  <si>
    <t>IntMin</t>
  </si>
  <si>
    <t>IntMax</t>
  </si>
  <si>
    <t>WilMin</t>
  </si>
  <si>
    <t>WilMax</t>
  </si>
  <si>
    <t>EndMin</t>
  </si>
  <si>
    <t>EndMax</t>
  </si>
  <si>
    <t>DexMin</t>
  </si>
  <si>
    <t>DexMax</t>
  </si>
  <si>
    <t>AgiMin</t>
  </si>
  <si>
    <t>AgiMax</t>
  </si>
  <si>
    <t>AppMin</t>
  </si>
  <si>
    <t>AppMax</t>
  </si>
  <si>
    <t>Dwarf</t>
  </si>
  <si>
    <t>Human</t>
  </si>
  <si>
    <t>Elf</t>
  </si>
  <si>
    <t>Maiar</t>
  </si>
  <si>
    <t>Level 1</t>
  </si>
  <si>
    <t>Level 2</t>
  </si>
  <si>
    <t>Attr Spend</t>
  </si>
  <si>
    <t>Valid Character</t>
  </si>
  <si>
    <t>Min</t>
  </si>
  <si>
    <t>Max</t>
  </si>
  <si>
    <t>DP</t>
  </si>
  <si>
    <t>DP/Level</t>
  </si>
  <si>
    <t>Level</t>
  </si>
  <si>
    <t>SubTypes</t>
  </si>
  <si>
    <t>Weapon</t>
  </si>
  <si>
    <t>Weapons</t>
  </si>
  <si>
    <t>Damage</t>
  </si>
  <si>
    <t>BAD</t>
  </si>
  <si>
    <t>FT</t>
  </si>
  <si>
    <t>Melee</t>
  </si>
  <si>
    <t>Longbow</t>
  </si>
  <si>
    <t>Ranged</t>
  </si>
  <si>
    <t>Spells</t>
  </si>
  <si>
    <t>Skills</t>
  </si>
  <si>
    <t>Ledger</t>
  </si>
  <si>
    <t>Spend</t>
  </si>
  <si>
    <t>Free Form</t>
  </si>
  <si>
    <t>Fire</t>
  </si>
  <si>
    <t>Level 2 Spend</t>
  </si>
  <si>
    <t>Lockpick</t>
  </si>
  <si>
    <t>Longsword</t>
  </si>
  <si>
    <t>Dam</t>
  </si>
  <si>
    <t>Raw Dam</t>
  </si>
  <si>
    <t>Spent</t>
  </si>
  <si>
    <t>BAD Prof</t>
  </si>
  <si>
    <t>Spent DP</t>
  </si>
  <si>
    <t>Remaining</t>
  </si>
  <si>
    <t xml:space="preserve"> </t>
  </si>
  <si>
    <t>AttSpend</t>
  </si>
  <si>
    <t>BAD Die</t>
  </si>
  <si>
    <t>Narrow</t>
  </si>
  <si>
    <t>Middle</t>
  </si>
  <si>
    <t>Wide</t>
  </si>
  <si>
    <t>Casting</t>
  </si>
  <si>
    <t>Recovery</t>
  </si>
  <si>
    <t>Dice Aver</t>
  </si>
  <si>
    <t>1d4+1</t>
  </si>
  <si>
    <t>1d6</t>
  </si>
  <si>
    <t>1d4+2</t>
  </si>
  <si>
    <t>1d8</t>
  </si>
  <si>
    <t>1d10</t>
  </si>
  <si>
    <t>1d12</t>
  </si>
  <si>
    <t>1d20</t>
  </si>
  <si>
    <t>1d6+1</t>
  </si>
  <si>
    <t>1d8+1</t>
  </si>
  <si>
    <t>1d6+2</t>
  </si>
  <si>
    <t>2d4-1</t>
  </si>
  <si>
    <t>1d10+1</t>
  </si>
  <si>
    <t>1d12+1</t>
  </si>
  <si>
    <t>Static Amt</t>
  </si>
  <si>
    <t>1d6+3</t>
  </si>
  <si>
    <t>1d8+3</t>
  </si>
  <si>
    <t>1d8+4</t>
  </si>
  <si>
    <t>1d10+4</t>
  </si>
  <si>
    <t>1d4+1d6-1</t>
  </si>
  <si>
    <t>1d4+1d6</t>
  </si>
  <si>
    <t>1d4+1d8-1</t>
  </si>
  <si>
    <t>1d4+1d6+1</t>
  </si>
  <si>
    <t>1d4+1d8</t>
  </si>
  <si>
    <t>1d4+1d10-1</t>
  </si>
  <si>
    <t>2d4+1d8-2</t>
  </si>
  <si>
    <t>1d4+1d6+2</t>
  </si>
  <si>
    <t>1d4+1d8+1</t>
  </si>
  <si>
    <t>1d4+1d12-1</t>
  </si>
  <si>
    <t>1d12+2</t>
  </si>
  <si>
    <t>2d4+1d10-2</t>
  </si>
  <si>
    <t>1d4+1d6+3</t>
  </si>
  <si>
    <t>1d4+1d10+1</t>
  </si>
  <si>
    <t>1d6+1d12-1</t>
  </si>
  <si>
    <t>2d4+1d8</t>
  </si>
  <si>
    <t>2d4+1d12-2</t>
  </si>
  <si>
    <t>1d4+1d6+4</t>
  </si>
  <si>
    <t>1d4+1d12+1</t>
  </si>
  <si>
    <t>1d8+1d12-1</t>
  </si>
  <si>
    <t>1d10+5</t>
  </si>
  <si>
    <t>2d4+1d10</t>
  </si>
  <si>
    <t>1d4+1d8+4</t>
  </si>
  <si>
    <t>1d6+1d12+1</t>
  </si>
  <si>
    <t>1d10+1d12-1</t>
  </si>
  <si>
    <t>1d12+5</t>
  </si>
  <si>
    <t>2d4+1d12</t>
  </si>
  <si>
    <t>1d4+1d8+1d12-2</t>
  </si>
  <si>
    <t>1d4+1d8+5</t>
  </si>
  <si>
    <t>1d6+1d12+2</t>
  </si>
  <si>
    <t>1d4+1d20-1</t>
  </si>
  <si>
    <t>1d12+6</t>
  </si>
  <si>
    <t>2d4+1d12+1</t>
  </si>
  <si>
    <t>1d4+1d10+1d12-2</t>
  </si>
  <si>
    <t>1d4+1d10+5</t>
  </si>
  <si>
    <t>1d8+1d12+2</t>
  </si>
  <si>
    <t>1d6+1d20-1</t>
  </si>
  <si>
    <t>2d4+1d8+4</t>
  </si>
  <si>
    <t>1d20+3</t>
  </si>
  <si>
    <t>2d4+1d20-2</t>
  </si>
  <si>
    <t>1d4+1d10+6</t>
  </si>
  <si>
    <t>1d10+1d12+2</t>
  </si>
  <si>
    <t>1d8+1d20-1</t>
  </si>
  <si>
    <t>2d4+1d8+5</t>
  </si>
  <si>
    <t>1d4+1d8+1d12+1</t>
  </si>
  <si>
    <t>1d4+1d6+1d20-2</t>
  </si>
  <si>
    <t>1d4+1d12+6</t>
  </si>
  <si>
    <t>1d4+1d20+2</t>
  </si>
  <si>
    <t>1d10+1d20-1</t>
  </si>
  <si>
    <t>2d4+1d10+5</t>
  </si>
  <si>
    <t>1d4+1d10+1d12+1</t>
  </si>
  <si>
    <t>1d4+1d8+1d20-2</t>
  </si>
  <si>
    <t>1d4+1d12+7</t>
  </si>
  <si>
    <t>1d4+1d20+3</t>
  </si>
  <si>
    <t>1d12+1d20-1</t>
  </si>
  <si>
    <t>2d4+1d10+6</t>
  </si>
  <si>
    <t>1d4+1d10+1d12+2</t>
  </si>
  <si>
    <t>1d4+1d10+1d20-2</t>
  </si>
  <si>
    <t>1d6+1d12+7</t>
  </si>
  <si>
    <t>1d6+1d20+3</t>
  </si>
  <si>
    <t>2d4+1d8+1d20-3</t>
  </si>
  <si>
    <t>2d4+1d12+6</t>
  </si>
  <si>
    <t>2d4+1d20+2</t>
  </si>
  <si>
    <t>1d4+1d12+1d20-2</t>
  </si>
  <si>
    <t>1d6+1d12+8</t>
  </si>
  <si>
    <t>1d8+1d20+3</t>
  </si>
  <si>
    <t>2d4+1d10+1d20-3</t>
  </si>
  <si>
    <t>2d4+1d12+7</t>
  </si>
  <si>
    <t>1d4+1d6+1d20+2</t>
  </si>
  <si>
    <t>1d6+1d12+1d20-2</t>
  </si>
  <si>
    <t>1d8+1d12+8</t>
  </si>
  <si>
    <t>1d10+1d20+3</t>
  </si>
  <si>
    <t>2d4+1d12+1d20-3</t>
  </si>
  <si>
    <t>1d20+9</t>
  </si>
  <si>
    <t>1d4+1d8+1d20+2</t>
  </si>
  <si>
    <t>1d8+1d12+1d20-2</t>
  </si>
  <si>
    <t>1d8+1d12+9</t>
  </si>
  <si>
    <t>1d10+1d20+4</t>
  </si>
  <si>
    <t>2d20-1</t>
  </si>
  <si>
    <t>1d20+10</t>
  </si>
  <si>
    <t>1d4+1d8+1d20+3</t>
  </si>
  <si>
    <t>1d10+1d12+1d20-2</t>
  </si>
  <si>
    <t>1d10+1d12+9</t>
  </si>
  <si>
    <t>1d12+1d20+4</t>
  </si>
  <si>
    <t>1d4+1d8+1d12+1d20-3</t>
  </si>
  <si>
    <t>1d4+1d8+1d12+8</t>
  </si>
  <si>
    <t>1d4+1d10+1d20+3</t>
  </si>
  <si>
    <t>1d4+2d20-2</t>
  </si>
  <si>
    <t>1d10+1d12+10</t>
  </si>
  <si>
    <t>2d4+1d8+1d20+2</t>
  </si>
  <si>
    <t>1d4+1d10+1d12+1d20-3</t>
  </si>
  <si>
    <t>1d4+1d8+1d12+9</t>
  </si>
  <si>
    <t>1d4+1d12+1d20+3</t>
  </si>
  <si>
    <t>1d6+2d20-2</t>
  </si>
  <si>
    <t>1d4+1d20+10</t>
  </si>
  <si>
    <t>2d4+1d10+1d20+2</t>
  </si>
  <si>
    <t>2d4+2d20-3</t>
  </si>
  <si>
    <t>1d4+1d10+1d12+9</t>
  </si>
  <si>
    <t>1d6+1d12+1d20+3</t>
  </si>
  <si>
    <t>1d8+2d20-2</t>
  </si>
  <si>
    <t>1d4+1d20+11</t>
  </si>
  <si>
    <t>2d4+1d10+1d20+3</t>
  </si>
  <si>
    <t>1d4+1d6+2d20-3</t>
  </si>
  <si>
    <t>1d4+1d10+1d12+10</t>
  </si>
  <si>
    <t>1d6+1d12+1d20+4</t>
  </si>
  <si>
    <t>1d10+2d20-2</t>
  </si>
  <si>
    <t>1d6+1d20+11</t>
  </si>
  <si>
    <t>2d4+1d12+1d20+3</t>
  </si>
  <si>
    <t>1d4+1d8+2d20-3</t>
  </si>
  <si>
    <t>2d4+1d20+10</t>
  </si>
  <si>
    <t>1d8+1d12+1d20+4</t>
  </si>
  <si>
    <t>1d12+2d20-2</t>
  </si>
  <si>
    <t>1d6+1d20+12</t>
  </si>
  <si>
    <t>2d20+5</t>
  </si>
  <si>
    <t>1d4+1d10+2d20-3</t>
  </si>
  <si>
    <t>2d4+1d20+11</t>
  </si>
  <si>
    <t>1d10+1d12+1d20+4</t>
  </si>
  <si>
    <t>2d4+1d8+2d20-4</t>
  </si>
  <si>
    <t>1d8+1d20+12</t>
  </si>
  <si>
    <t>1d4+1d8+1d12+1d20+3</t>
  </si>
  <si>
    <t>1d4+1d12+2d20-3</t>
  </si>
  <si>
    <t>1d4+1d6+1d20+11</t>
  </si>
  <si>
    <t>1d4+2d20+4</t>
  </si>
  <si>
    <t>2d4+1d10+2d20-4</t>
  </si>
  <si>
    <t>1d8+1d20+13</t>
  </si>
  <si>
    <t>1d4+1d8+1d12+1d20+4</t>
  </si>
  <si>
    <t>1d6+1d12+2d20-3</t>
  </si>
  <si>
    <t>1d4+1d6+1d20+12</t>
  </si>
  <si>
    <t>1d4+2d20+5</t>
  </si>
  <si>
    <t>2d4+1d12+2d20-4</t>
  </si>
  <si>
    <t>1d10+1d20+13</t>
  </si>
  <si>
    <t>1d4+1d10+1d12+1d20+4</t>
  </si>
  <si>
    <t>1d8+1d12+2d20-3</t>
  </si>
  <si>
    <t>1d4+1d8+1d20+12</t>
  </si>
  <si>
    <t>1d6+2d20+5</t>
  </si>
  <si>
    <t>3d20-2</t>
  </si>
  <si>
    <t>1d10+1d20+14</t>
  </si>
  <si>
    <t>2d4+2d20+4</t>
  </si>
  <si>
    <t>1d10+1d12+2d20-3</t>
  </si>
  <si>
    <t>1d4+1d8+1d20+13</t>
  </si>
  <si>
    <t>1d8+2d20+5</t>
  </si>
  <si>
    <t>1d4+1d8+1d12+2d20-4</t>
  </si>
  <si>
    <t>1d12+1d20+14</t>
  </si>
  <si>
    <t>1d4+1d6+2d20+4</t>
  </si>
  <si>
    <t>1d4+3d20-3</t>
  </si>
  <si>
    <t>1d4+1d10+1d20+13</t>
  </si>
  <si>
    <t>1d10+2d20+5</t>
  </si>
  <si>
    <t>1d4+1d10+1d12+2d20-4</t>
  </si>
  <si>
    <t>1d12+1d20+15</t>
  </si>
  <si>
    <t>1d4+1d6+2d20+5</t>
  </si>
  <si>
    <t>1d6+3d20-3</t>
  </si>
  <si>
    <t>1d4+1d10+1d20+14</t>
  </si>
  <si>
    <t>1d10+2d20+6</t>
  </si>
  <si>
    <t>2d4+3d20-4</t>
  </si>
  <si>
    <t>2d4+1d8+1d20+13</t>
  </si>
  <si>
    <t>1d4+1d8+2d20+5</t>
  </si>
  <si>
    <t>1d8+3d20-3</t>
  </si>
  <si>
    <t>1d4+1d12+1d20+14</t>
  </si>
  <si>
    <t>1d12+2d20+6</t>
  </si>
  <si>
    <t>1d4+1d6+3d20-4</t>
  </si>
  <si>
    <t>2d4+1d8+1d20+14</t>
  </si>
  <si>
    <t>1d4+1d10+2d20+5</t>
  </si>
  <si>
    <t>1d10+3d20-3</t>
  </si>
  <si>
    <t>1d4+1d12+1d20+15</t>
  </si>
  <si>
    <t>2d4+1d8+2d20+4</t>
  </si>
  <si>
    <t>1d4+1d8+3d20-4</t>
  </si>
  <si>
    <t>2d4+1d10+1d20+14</t>
  </si>
  <si>
    <t>1d4+1d12+2d20+5</t>
  </si>
  <si>
    <t>1d12+3d20-3</t>
  </si>
  <si>
    <t>1d6+1d12+1d20+15</t>
  </si>
  <si>
    <t>2d4+1d10+2d20+4</t>
  </si>
  <si>
    <t>1d4+1d10+3d20-4</t>
  </si>
  <si>
    <t>2d4+1d10+1d20+15</t>
  </si>
  <si>
    <t>1d4+1d12+2d20+6</t>
  </si>
  <si>
    <t>2d4+1d8+3d20-5</t>
  </si>
  <si>
    <t>1d6+1d12+1d20+16</t>
  </si>
  <si>
    <t>2d4+1d10+2d20+5</t>
  </si>
  <si>
    <t>1d4+1d12+3d20-4</t>
  </si>
  <si>
    <t>2d4+1d12+1d20+15</t>
  </si>
  <si>
    <t>1d6+1d12+2d20+6</t>
  </si>
  <si>
    <t>2d4+1d10+3d20-5</t>
  </si>
  <si>
    <t>1d8+1d12+1d20+16</t>
  </si>
  <si>
    <t>2d4+1d12+2d20+5</t>
  </si>
  <si>
    <t>1d6+1d12+3d20-4</t>
  </si>
  <si>
    <t>2d4+1d12+1d20+16</t>
  </si>
  <si>
    <t>1d8+1d12+2d20+6</t>
  </si>
  <si>
    <t>2d4+1d12+3d20-5</t>
  </si>
  <si>
    <t>1d8+1d12+1d20+17</t>
  </si>
  <si>
    <t>3d20+7</t>
  </si>
  <si>
    <t>1d8+1d12+3d20-4</t>
  </si>
  <si>
    <t>2d20+18</t>
  </si>
  <si>
    <t>1d10+1d12+2d20+6</t>
  </si>
  <si>
    <t>4d20-3</t>
  </si>
  <si>
    <t>1d10+1d12+1d20+17</t>
  </si>
  <si>
    <t>1d4+1d8+1d12+2d20+5</t>
  </si>
  <si>
    <t>1d10+1d12+3d20-4</t>
  </si>
  <si>
    <t>2d20+19</t>
  </si>
  <si>
    <t>1d10+1d12+2d20+7</t>
  </si>
  <si>
    <t>1d4+1d8+1d12+3d20-5</t>
  </si>
  <si>
    <t>1d10+1d12+1d20+18</t>
  </si>
  <si>
    <t>1d4+1d8+1d12+2d20+6</t>
  </si>
  <si>
    <t>1d4+4d20-4</t>
  </si>
  <si>
    <t>1d4+1d8+1d12+1d20+17</t>
  </si>
  <si>
    <t>1d4+3d20+7</t>
  </si>
  <si>
    <t>1d4+1d10+1d12+3d20-5</t>
  </si>
  <si>
    <t>1d4+2d20+18</t>
  </si>
  <si>
    <t>1d4+1d10+1d12+2d20+6</t>
  </si>
  <si>
    <t>1d6+4d20-4</t>
  </si>
  <si>
    <t>1d4+1d8+1d12+1d20+18</t>
  </si>
  <si>
    <t>1d6+3d20+7</t>
  </si>
  <si>
    <t>2d4+4d20-5</t>
  </si>
  <si>
    <t>1d4+2d20+19</t>
  </si>
  <si>
    <t>2d4+3d20+6</t>
  </si>
  <si>
    <t>1d8+4d20-4</t>
  </si>
  <si>
    <t>1d4+1d10+1d12+1d20+18</t>
  </si>
  <si>
    <t>1d8+3d20+7</t>
  </si>
  <si>
    <t>1d4+1d6+4d20-5</t>
  </si>
  <si>
    <t>1d6+2d20+19</t>
  </si>
  <si>
    <t>1d4+1d6+3d20+6</t>
  </si>
  <si>
    <t>1d10+4d20-4</t>
  </si>
  <si>
    <t>1d4+1d10+1d12+1d20+19</t>
  </si>
  <si>
    <t>1d8+3d20+8</t>
  </si>
  <si>
    <t>1d4+1d8+4d20-5</t>
  </si>
  <si>
    <t>1d6+2d20+20</t>
  </si>
  <si>
    <t>1d4+1d6+3d20+7</t>
  </si>
  <si>
    <t>1d12+4d20-4</t>
  </si>
  <si>
    <t>2d4+2d20+19</t>
  </si>
  <si>
    <t>1d10+3d20+8</t>
  </si>
  <si>
    <t>1d4+1d10+4d20-5</t>
  </si>
  <si>
    <t>1d8+2d20+20</t>
  </si>
  <si>
    <t>1d4+1d8+3d20+7</t>
  </si>
  <si>
    <t>2d4+1d8+4d20-6</t>
  </si>
  <si>
    <t>2d4+2d20+20</t>
  </si>
  <si>
    <t>1d12+3d20+8</t>
  </si>
  <si>
    <t>1d4+1d12+4d20-5</t>
  </si>
  <si>
    <t>1d8+2d20+21</t>
  </si>
  <si>
    <t>1d4+1d10+3d20+7</t>
  </si>
  <si>
    <t>2d4+1d10+4d20-6</t>
  </si>
  <si>
    <t>1d4+1d6+2d20+20</t>
  </si>
  <si>
    <t>2d4+1d8+3d20+6</t>
  </si>
  <si>
    <t>1d6+1d12+4d20-5</t>
  </si>
  <si>
    <t>1d10+2d20+21</t>
  </si>
  <si>
    <t>1d4+1d12+3d20+7</t>
  </si>
  <si>
    <t>2d4+1d12+4d20-6</t>
  </si>
  <si>
    <t>1d4+1d6+2d20+21</t>
  </si>
  <si>
    <t>2d4+1d8+3d20+7</t>
  </si>
  <si>
    <t>1d8+1d12+4d20-5</t>
  </si>
  <si>
    <t>1d10+2d20+22</t>
  </si>
  <si>
    <t>1d4+1d12+3d20+8</t>
  </si>
  <si>
    <t>5d20-4</t>
  </si>
  <si>
    <t>1d4+1d8+2d20+21</t>
  </si>
  <si>
    <t>2d4+1d10+3d20+7</t>
  </si>
  <si>
    <t>1d10+1d12+4d20-5</t>
  </si>
  <si>
    <t>1d12+2d20+22</t>
  </si>
  <si>
    <t>1d6+1d12+3d20+8</t>
  </si>
  <si>
    <t>1d4+1d8+1d12+4d20-6</t>
  </si>
  <si>
    <t>1d4+1d8+2d20+22</t>
  </si>
  <si>
    <t>2d4+1d12+3d20+7</t>
  </si>
  <si>
    <t>1d4+5d20-5</t>
  </si>
  <si>
    <t>1d12+2d20+23</t>
  </si>
  <si>
    <t>1d8+1d12+3d20+8</t>
  </si>
  <si>
    <t>1d4+1d10+1d12+4d20-6</t>
  </si>
  <si>
    <t>1d4+1d10+2d20+22</t>
  </si>
  <si>
    <t>4d20+9</t>
  </si>
  <si>
    <t>1d6+5d20-5</t>
  </si>
  <si>
    <t>2d4+1d8+2d20+21</t>
  </si>
  <si>
    <t>1d10+1d12+3d20+8</t>
  </si>
  <si>
    <t>2d4+5d20-6</t>
  </si>
  <si>
    <t>1d4+1d10+2d20+23</t>
  </si>
  <si>
    <t>4d20+10</t>
  </si>
  <si>
    <t>1d8+5d20-5</t>
  </si>
  <si>
    <t>2d4+1d8+2d20+22</t>
  </si>
  <si>
    <t>1d10+1d12+3d20+9</t>
  </si>
  <si>
    <t>1d4+1d6+5d20-6</t>
  </si>
  <si>
    <t>1d4+1d12+2d20+23</t>
  </si>
  <si>
    <t>1d4+1d8+1d12+3d20+8</t>
  </si>
  <si>
    <t>1d10+5d20-5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</si>
</sst>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Border="1"/>
    <xf numFmtId="0" fontId="0" fillId="0" borderId="0" xfId="0" applyBorder="1"/>
    <xf numFmtId="14" fontId="0" fillId="3" borderId="1" xfId="0" applyNumberFormat="1" applyFill="1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0" fillId="6" borderId="0" xfId="0" applyFill="1"/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3" borderId="8" xfId="0" applyFill="1" applyBorder="1"/>
    <xf numFmtId="0" fontId="0" fillId="2" borderId="5" xfId="0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9" fontId="0" fillId="6" borderId="7" xfId="0" applyNumberFormat="1" applyFill="1" applyBorder="1"/>
    <xf numFmtId="9" fontId="0" fillId="6" borderId="8" xfId="0" applyNumberFormat="1" applyFill="1" applyBorder="1"/>
    <xf numFmtId="0" fontId="0" fillId="6" borderId="8" xfId="0" applyFill="1" applyBorder="1"/>
    <xf numFmtId="0" fontId="0" fillId="6" borderId="5" xfId="0" applyFill="1" applyBorder="1"/>
    <xf numFmtId="9" fontId="0" fillId="3" borderId="6" xfId="0" applyNumberFormat="1" applyFill="1" applyBorder="1"/>
    <xf numFmtId="9" fontId="0" fillId="3" borderId="7" xfId="0" applyNumberFormat="1" applyFill="1" applyBorder="1"/>
    <xf numFmtId="9" fontId="0" fillId="3" borderId="8" xfId="0" applyNumberFormat="1" applyFill="1" applyBorder="1"/>
    <xf numFmtId="14" fontId="0" fillId="3" borderId="8" xfId="0" applyNumberFormat="1" applyFill="1" applyBorder="1" applyAlignment="1"/>
    <xf numFmtId="14" fontId="0" fillId="0" borderId="8" xfId="0" applyNumberFormat="1" applyBorder="1" applyAlignment="1"/>
    <xf numFmtId="14" fontId="0" fillId="3" borderId="3" xfId="0" applyNumberFormat="1" applyFill="1" applyBorder="1" applyAlignment="1"/>
    <xf numFmtId="14" fontId="0" fillId="0" borderId="4" xfId="0" applyNumberFormat="1" applyBorder="1" applyAlignment="1"/>
    <xf numFmtId="14" fontId="0" fillId="3" borderId="6" xfId="0" applyNumberFormat="1" applyFill="1" applyBorder="1" applyAlignment="1"/>
    <xf numFmtId="14" fontId="0" fillId="0" borderId="6" xfId="0" applyNumberFormat="1" applyBorder="1" applyAlignment="1"/>
    <xf numFmtId="0" fontId="0" fillId="3" borderId="5" xfId="0" applyNumberFormat="1" applyFill="1" applyBorder="1" applyAlignment="1"/>
    <xf numFmtId="0" fontId="0" fillId="0" borderId="5" xfId="0" applyNumberFormat="1" applyBorder="1" applyAlignment="1"/>
    <xf numFmtId="14" fontId="0" fillId="3" borderId="4" xfId="0" applyNumberFormat="1" applyFill="1" applyBorder="1" applyAlignment="1"/>
    <xf numFmtId="0" fontId="1" fillId="0" borderId="0" xfId="0" applyFont="1"/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3" borderId="0" xfId="0" applyNumberFormat="1" applyFill="1" applyBorder="1" applyAlignment="1"/>
    <xf numFmtId="0" fontId="0" fillId="0" borderId="0" xfId="0" applyNumberFormat="1" applyBorder="1" applyAlignme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 applyProtection="1">
      <protection locked="0"/>
    </xf>
    <xf numFmtId="9" fontId="0" fillId="0" borderId="0" xfId="0" applyNumberFormat="1"/>
    <xf numFmtId="10" fontId="0" fillId="0" borderId="0" xfId="0" applyNumberFormat="1"/>
    <xf numFmtId="14" fontId="0" fillId="3" borderId="11" xfId="0" applyNumberFormat="1" applyFill="1" applyBorder="1"/>
    <xf numFmtId="0" fontId="0" fillId="3" borderId="11" xfId="0" applyFill="1" applyBorder="1"/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Revision</a:t>
          </a:r>
        </a:p>
        <a:p>
          <a:r>
            <a:rPr lang="en-US" sz="1100"/>
            <a:t>004 - Make</a:t>
          </a:r>
          <a:r>
            <a:rPr lang="en-US" sz="1100" baseline="0"/>
            <a:t> level ledger use subclass for attribute, class, magic, weapon, skill.</a:t>
          </a:r>
        </a:p>
        <a:p>
          <a:r>
            <a:rPr lang="en-US" sz="1100" baseline="0"/>
            <a:t>          Added Weapon table</a:t>
          </a:r>
        </a:p>
        <a:p>
          <a:r>
            <a:rPr lang="en-US" sz="1100" baseline="0"/>
            <a:t>          Show spells</a:t>
          </a:r>
        </a:p>
        <a:p>
          <a:r>
            <a:rPr lang="en-US" sz="1100" baseline="0"/>
            <a:t>          Show weapons</a:t>
          </a:r>
        </a:p>
        <a:p>
          <a:r>
            <a:rPr lang="en-US" sz="1100" baseline="0"/>
            <a:t>          Show skills</a:t>
          </a:r>
        </a:p>
        <a:p>
          <a:r>
            <a:rPr lang="en-US" sz="1100" baseline="0"/>
            <a:t>          Add dice table - generator at: </a:t>
          </a:r>
        </a:p>
        <a:p>
          <a:r>
            <a:rPr lang="en-US" sz="1100" baseline="0"/>
            <a:t>            - https://github.com/galthaus/fb-combat/blob/master/die.rb</a:t>
          </a:r>
          <a:endParaRPr lang="en-US" sz="1100"/>
        </a:p>
        <a:p>
          <a:endParaRPr lang="en-US" sz="1100"/>
        </a:p>
        <a:p>
          <a:r>
            <a:rPr lang="en-US" sz="1100"/>
            <a:t>003</a:t>
          </a:r>
          <a:r>
            <a:rPr lang="en-US" sz="1100" baseline="0"/>
            <a:t> - Add date macro/function to keep date on pages in sync</a:t>
          </a:r>
        </a:p>
        <a:p>
          <a:r>
            <a:rPr lang="en-US" sz="1100" baseline="0"/>
            <a:t>          DP example - to play with concept.</a:t>
          </a:r>
        </a:p>
        <a:p>
          <a:r>
            <a:rPr lang="en-US" sz="1100" baseline="0"/>
            <a:t>          Add race table holder for stat caps.</a:t>
          </a:r>
        </a:p>
        <a:p>
          <a:r>
            <a:rPr lang="en-US" sz="1100" baseline="0"/>
            <a:t>          Add character validation section to indicate cap or spend overage/underage</a:t>
          </a:r>
        </a:p>
        <a:p>
          <a:endParaRPr lang="en-US" sz="1100" baseline="0"/>
        </a:p>
        <a:p>
          <a:r>
            <a:rPr lang="en-US" sz="1100" baseline="0"/>
            <a:t>002 - Kevin fix for str bonus and class descriptor start</a:t>
          </a:r>
        </a:p>
        <a:p>
          <a:r>
            <a:rPr lang="en-US" sz="1100" baseline="0"/>
            <a:t>          Ledger level functions</a:t>
          </a:r>
        </a:p>
        <a:p>
          <a:endParaRPr lang="en-US" sz="1100" baseline="0"/>
        </a:p>
        <a:p>
          <a:r>
            <a:rPr lang="en-US" sz="1100" baseline="0"/>
            <a:t>001 - Fix agile</a:t>
          </a:r>
        </a:p>
        <a:p>
          <a:endParaRPr lang="en-US" sz="1100" baseline="0"/>
        </a:p>
        <a:p>
          <a:r>
            <a:rPr lang="en-US" sz="1100" baseline="0"/>
            <a:t>000 - Initial version with attributes.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r>
            <a:rPr lang="en-US" sz="1100"/>
            <a:t>Alt-F11</a:t>
          </a:r>
          <a:r>
            <a:rPr lang="en-US" sz="1100" baseline="0"/>
            <a:t> to open the function that keeps the date in sync across the pages.</a:t>
          </a:r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TODO: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53340</xdr:rowOff>
    </xdr:from>
    <xdr:ext cx="8717280" cy="2847959"/>
    <xdr:sp macro="" textlink="">
      <xdr:nvSpPr>
        <xdr:cNvPr id="2" name="TextBox 1"/>
        <xdr:cNvSpPr txBox="1"/>
      </xdr:nvSpPr>
      <xdr:spPr>
        <a:xfrm>
          <a:off x="449580" y="236220"/>
          <a:ext cx="8717280" cy="2847959"/>
        </a:xfrm>
        <a:prstGeom prst="rect">
          <a:avLst/>
        </a:prstGeom>
        <a:solidFill>
          <a:schemeClr val="bg2"/>
        </a:solidFill>
        <a:ln>
          <a:solidFill>
            <a:schemeClr val="tx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Notes go here.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die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Normal="100" workbookViewId="0">
      <selection activeCell="A2" sqref="A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Normal="100" workbookViewId="0">
      <selection activeCell="A2" sqref="A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7"/>
  <sheetViews>
    <sheetView tabSelected="1" zoomScaleNormal="100" workbookViewId="0">
      <selection activeCell="C10" sqref="C10"/>
    </sheetView>
  </sheetViews>
  <sheetFormatPr defaultRowHeight="14.4" x14ac:dyDescent="0.3"/>
  <cols>
    <col min="2" max="2" width="10.77734375" customWidth="1"/>
    <col min="6" max="6" width="15" customWidth="1"/>
    <col min="13" max="13" width="13.6640625" customWidth="1"/>
  </cols>
  <sheetData>
    <row r="1" spans="1:14" ht="15" thickBot="1" x14ac:dyDescent="0.35"/>
    <row r="2" spans="1:14" ht="15.6" thickTop="1" thickBot="1" x14ac:dyDescent="0.35">
      <c r="A2" s="7"/>
      <c r="B2" s="8" t="s">
        <v>13</v>
      </c>
      <c r="C2" s="26">
        <v>41558</v>
      </c>
      <c r="D2" s="27"/>
      <c r="E2" s="7"/>
      <c r="M2" s="14" t="s">
        <v>65</v>
      </c>
    </row>
    <row r="3" spans="1:14" ht="15.6" thickTop="1" thickBot="1" x14ac:dyDescent="0.35">
      <c r="F3" s="14" t="s">
        <v>43</v>
      </c>
      <c r="H3" s="14" t="s">
        <v>68</v>
      </c>
      <c r="I3" s="14" t="s">
        <v>93</v>
      </c>
      <c r="J3" s="14" t="s">
        <v>94</v>
      </c>
      <c r="M3" s="14" t="s">
        <v>64</v>
      </c>
      <c r="N3" s="9">
        <f>SUMIFS(Ledger!$H$4:$H$10058,Ledger!$B$4:$B$10058,"Buy",Ledger!$I$4:$I$10058, 1)</f>
        <v>85</v>
      </c>
    </row>
    <row r="4" spans="1:14" ht="15.6" thickTop="1" thickBot="1" x14ac:dyDescent="0.35">
      <c r="B4" s="10" t="s">
        <v>6</v>
      </c>
      <c r="C4" s="28" t="s">
        <v>36</v>
      </c>
      <c r="D4" s="29"/>
      <c r="F4" s="10" t="s">
        <v>72</v>
      </c>
      <c r="G4" s="21">
        <v>0.3</v>
      </c>
      <c r="H4" s="15">
        <f>SUMIFS(Ledger!$F$4:$F$10058,Ledger!$B$4:$B$10058,"Level",Ledger!$C$4:$C$10058,"Class",Ledger!$I$4:$I$10058, 1)*$G4*$C$7+SUMIFS(Ledger!$F$4:$F$10058,Ledger!$B$4:$B$10058,"Level",Ledger!$C$4:$C$10058,F4,Ledger!$I$4:$I$10058, 1)*$C$7</f>
        <v>13</v>
      </c>
      <c r="I4" s="15">
        <f>SUMIFS(Ledger!$F$4:$F$10058,Ledger!$B$4:$B$10058,"Spend",Ledger!$C$4:$C$10058,F4,Ledger!$I$4:$I$10058, 1)</f>
        <v>38</v>
      </c>
      <c r="J4" s="39">
        <f>H4-I4</f>
        <v>-25</v>
      </c>
      <c r="M4" s="14" t="s">
        <v>22</v>
      </c>
      <c r="N4" t="str">
        <f>IF((SUMIFS(Ledger!$F$4:$F$10058,Ledger!$B$4:$B$10058,"Buy",Ledger!$D$4:$D$10058,B10,Ledger!$I$4:$I$10058, 1))&lt;MatrixLU(Tables!$D$12:$R$17,$C$5,MatrixLU(Tables!$D$3:$G$10, $M4, "Min", "notFound"),0),"Low",IF((SUMIFS(Ledger!$F$4:$F$10058,Ledger!$B$4:$B$10058,"Buy",Ledger!$D$4:$D$10058,B10,Ledger!$I$4:$I$10058, 1))&gt;MatrixLU(Tables!$D$12:$R$17,$C$5,MatrixLU(Tables!$D$3:$G$10, $M4, "Max", "notFound"),10000),"High","Ok"))</f>
        <v>Ok</v>
      </c>
    </row>
    <row r="5" spans="1:14" ht="15.6" thickTop="1" thickBot="1" x14ac:dyDescent="0.35">
      <c r="B5" s="12" t="s">
        <v>7</v>
      </c>
      <c r="C5" s="24" t="s">
        <v>37</v>
      </c>
      <c r="D5" s="25"/>
      <c r="F5" s="11" t="s">
        <v>3</v>
      </c>
      <c r="G5" s="22">
        <v>0.4</v>
      </c>
      <c r="H5" s="16">
        <f>SUMIFS(Ledger!$F$4:$F$10058,Ledger!$B$4:$B$10058,"Level",Ledger!$C$4:$C$10058,"Class",Ledger!$I$4:$I$10058, 1)*$G5*$C$7+SUMIFS(Ledger!$F$4:$F$10058,Ledger!$B$4:$B$10058,"Level",Ledger!$C$4:$C$10058,F5,Ledger!$I$4:$I$10058, 1)*$C$7</f>
        <v>4</v>
      </c>
      <c r="I5" s="16">
        <f>SUMIFS(Ledger!$F$4:$F$10058,Ledger!$B$4:$B$10058,"Spend",Ledger!$C$4:$C$10058,F5,Ledger!$I$4:$I$10058, 1)</f>
        <v>4</v>
      </c>
      <c r="J5" s="40">
        <f t="shared" ref="J5:J6" si="0">H5-I5</f>
        <v>0</v>
      </c>
      <c r="M5" s="14" t="s">
        <v>27</v>
      </c>
      <c r="N5" t="str">
        <f>IF((SUMIFS(Ledger!$F$4:$F$10058,Ledger!$B$4:$B$10058,"Buy",Ledger!$D$4:$D$10058,B11,Ledger!$I$4:$I$10058, 1))&lt;MatrixLU(Tables!$D$12:$R$17,$C$5,MatrixLU(Tables!$D$3:$G$10, $M5, "Min", "notFound"),0),"Low",IF((SUMIFS(Ledger!$F$4:$F$10058,Ledger!$B$4:$B$10058,"Buy",Ledger!$D$4:$D$10058,B11,Ledger!$I$4:$I$10058, 1))&gt;MatrixLU(Tables!$D$12:$R$17,$C$5,MatrixLU(Tables!$D$3:$G$10, $M5, "Max", "notFound"),10000),"High","Ok"))</f>
        <v>Ok</v>
      </c>
    </row>
    <row r="6" spans="1:14" ht="15.6" thickTop="1" thickBot="1" x14ac:dyDescent="0.35">
      <c r="F6" s="12" t="s">
        <v>4</v>
      </c>
      <c r="G6" s="23">
        <v>0.3</v>
      </c>
      <c r="H6" s="19">
        <f>SUMIFS(Ledger!$F$4:$F$10058,Ledger!$B$4:$B$10058,"Level",Ledger!$C$4:$C$10058,"Class",Ledger!$I$4:$I$10058, 1)*$G6*$C$7+SUMIFS(Ledger!$F$4:$F$10058,Ledger!$B$4:$B$10058,"Level",Ledger!$C$4:$C$10058,F6,Ledger!$I$4:$I$10058, 1)*$C$7</f>
        <v>3</v>
      </c>
      <c r="I6" s="19">
        <f>SUMIFS(Ledger!$F$4:$F$10058,Ledger!$B$4:$B$10058,"Spend",Ledger!$C$4:$C$10058,F6,Ledger!$I$4:$I$10058, 1)</f>
        <v>5</v>
      </c>
      <c r="J6" s="41">
        <f t="shared" si="0"/>
        <v>-2</v>
      </c>
      <c r="M6" s="14" t="s">
        <v>26</v>
      </c>
      <c r="N6" t="str">
        <f>IF((SUMIFS(Ledger!$F$4:$F$10058,Ledger!$B$4:$B$10058,"Buy",Ledger!$D$4:$D$10058,B12,Ledger!$I$4:$I$10058, 1))&lt;MatrixLU(Tables!$D$12:$R$17,$C$5,MatrixLU(Tables!$D$3:$G$10, $M6, "Min", "notFound"),0),"Low",IF((SUMIFS(Ledger!$F$4:$F$10058,Ledger!$B$4:$B$10058,"Buy",Ledger!$D$4:$D$10058,B12,Ledger!$I$4:$I$10058, 1))&gt;MatrixLU(Tables!$D$12:$R$17,$C$5,MatrixLU(Tables!$D$3:$G$10, $M6, "Max", "notFound"),10000),"High","Ok"))</f>
        <v>Ok</v>
      </c>
    </row>
    <row r="7" spans="1:14" ht="15.6" thickTop="1" thickBot="1" x14ac:dyDescent="0.35">
      <c r="B7" s="14" t="s">
        <v>69</v>
      </c>
      <c r="C7" s="30">
        <v>10</v>
      </c>
      <c r="D7" s="31"/>
      <c r="F7" s="12" t="s">
        <v>5</v>
      </c>
      <c r="G7" s="13" t="s">
        <v>9</v>
      </c>
      <c r="M7" s="14" t="s">
        <v>25</v>
      </c>
      <c r="N7" t="str">
        <f>IF((SUMIFS(Ledger!$F$4:$F$10058,Ledger!$B$4:$B$10058,"Buy",Ledger!$D$4:$D$10058,B13,Ledger!$I$4:$I$10058, 1))&lt;MatrixLU(Tables!$D$12:$R$17,$C$5,MatrixLU(Tables!$D$3:$G$10, $M7, "Min", "notFound"),0),"Low",IF((SUMIFS(Ledger!$F$4:$F$10058,Ledger!$B$4:$B$10058,"Buy",Ledger!$D$4:$D$10058,B13,Ledger!$I$4:$I$10058, 1))&gt;MatrixLU(Tables!$D$12:$R$17,$C$5,MatrixLU(Tables!$D$3:$G$10, $M7, "Max", "notFound"),10000),"High","Ok"))</f>
        <v>Ok</v>
      </c>
    </row>
    <row r="8" spans="1:14" ht="15.6" thickTop="1" thickBot="1" x14ac:dyDescent="0.35">
      <c r="C8" t="s">
        <v>95</v>
      </c>
      <c r="M8" s="14" t="s">
        <v>24</v>
      </c>
      <c r="N8" t="str">
        <f>IF((SUMIFS(Ledger!$F$4:$F$10058,Ledger!$B$4:$B$10058,"Buy",Ledger!$D$4:$D$10058,B14,Ledger!$I$4:$I$10058, 1))&lt;MatrixLU(Tables!$D$12:$R$17,$C$5,MatrixLU(Tables!$D$3:$G$10, $M8, "Min", "notFound"),0),"Low",IF((SUMIFS(Ledger!$F$4:$F$10058,Ledger!$B$4:$B$10058,"Buy",Ledger!$D$4:$D$10058,B14,Ledger!$I$4:$I$10058, 1))&gt;MatrixLU(Tables!$D$12:$R$17,$C$5,MatrixLU(Tables!$D$3:$G$10, $M8, "Max", "notFound"),10000),"High","Ok"))</f>
        <v>Ok</v>
      </c>
    </row>
    <row r="9" spans="1:14" ht="15.6" thickTop="1" thickBot="1" x14ac:dyDescent="0.35">
      <c r="B9" s="10" t="s">
        <v>0</v>
      </c>
      <c r="F9" s="14" t="s">
        <v>1</v>
      </c>
      <c r="J9" s="14" t="s">
        <v>41</v>
      </c>
      <c r="M9" s="14" t="s">
        <v>28</v>
      </c>
      <c r="N9" t="str">
        <f>IF((SUMIFS(Ledger!$F$4:$F$10058,Ledger!$B$4:$B$10058,"Buy",Ledger!$D$4:$D$10058,B15,Ledger!$I$4:$I$10058, 1))&lt;MatrixLU(Tables!$D$12:$R$17,$C$5,MatrixLU(Tables!$D$3:$G$10, $M9, "Min", "notFound"),0),"Low",IF((SUMIFS(Ledger!$F$4:$F$10058,Ledger!$B$4:$B$10058,"Buy",Ledger!$D$4:$D$10058,B15,Ledger!$I$4:$I$10058, 1))&gt;MatrixLU(Tables!$D$12:$R$17,$C$5,MatrixLU(Tables!$D$3:$G$10, $M9, "Max", "notFound"),10000),"High","Ok"))</f>
        <v>Ok</v>
      </c>
    </row>
    <row r="10" spans="1:14" ht="15.6" thickTop="1" thickBot="1" x14ac:dyDescent="0.35">
      <c r="B10" s="10" t="s">
        <v>22</v>
      </c>
      <c r="C10" s="15">
        <f>SUMIFS(Ledger!$F$4:$F$10058,Ledger!$B$4:$B$10058,"Buy",Ledger!$D$4:$D$10058,B10,Ledger!$I$4:$I$10058, 1)+SUMIFS(Ledger!$F$4:$F$10058,Ledger!$B$4:$B$10058,"Level",Ledger!$C$4:$C$10058,"Attribute",Ledger!$D$4:$D$10058,B10,Ledger!$I$4:$I$10058, 1)</f>
        <v>16</v>
      </c>
      <c r="F10" s="10" t="s">
        <v>2</v>
      </c>
      <c r="G10" s="15"/>
      <c r="J10" s="14" t="s">
        <v>42</v>
      </c>
      <c r="K10" s="20">
        <f>$G$11+$G$13</f>
        <v>36</v>
      </c>
      <c r="M10" s="14" t="s">
        <v>29</v>
      </c>
      <c r="N10" t="str">
        <f>IF((SUMIFS(Ledger!$F$4:$F$10058,Ledger!$B$4:$B$10058,"Buy",Ledger!$D$4:$D$10058,B16,Ledger!$I$4:$I$10058, 1))&lt;MatrixLU(Tables!$D$12:$R$17,$C$5,MatrixLU(Tables!$D$3:$G$10, $M10, "Min", "notFound"),0),"Low",IF((SUMIFS(Ledger!$F$4:$F$10058,Ledger!$B$4:$B$10058,"Buy",Ledger!$D$4:$D$10058,B16,Ledger!$I$4:$I$10058, 1))&gt;MatrixLU(Tables!$D$12:$R$17,$C$5,MatrixLU(Tables!$D$3:$G$10, $M10, "Max", "notFound"),10000),"High","Ok"))</f>
        <v>Ok</v>
      </c>
    </row>
    <row r="11" spans="1:14" ht="15" thickTop="1" x14ac:dyDescent="0.3">
      <c r="B11" s="11" t="s">
        <v>27</v>
      </c>
      <c r="C11" s="16">
        <f>SUMIFS(Ledger!$F$4:$F$10058,Ledger!$B$4:$B$10058,"Buy",Ledger!$D$4:$D$10058,B11,Ledger!$I$4:$I$10058, 1)+SUMIFS(Ledger!$F$4:$F$10058,Ledger!$B$4:$B$10058,"Level",Ledger!$C$4:$C$10058,"Attribute",Ledger!$D$4:$D$10058,B11,Ledger!$I$4:$I$10058, 1)</f>
        <v>12</v>
      </c>
      <c r="F11" s="11" t="s">
        <v>33</v>
      </c>
      <c r="G11" s="16">
        <f>$C$14*2</f>
        <v>30</v>
      </c>
    </row>
    <row r="12" spans="1:14" x14ac:dyDescent="0.3">
      <c r="B12" s="11" t="s">
        <v>26</v>
      </c>
      <c r="C12" s="16">
        <f>SUMIFS(Ledger!$F$4:$F$10058,Ledger!$B$4:$B$10058,"Buy",Ledger!$D$4:$D$10058,B12,Ledger!$I$4:$I$10058, 1)+SUMIFS(Ledger!$F$4:$F$10058,Ledger!$B$4:$B$10058,"Level",Ledger!$C$4:$C$10058,"Attribute",Ledger!$D$4:$D$10058,B12,Ledger!$I$4:$I$10058, 1)</f>
        <v>14</v>
      </c>
      <c r="F12" s="11" t="s">
        <v>32</v>
      </c>
      <c r="G12" s="17">
        <f>$C$10*0.1</f>
        <v>1.6</v>
      </c>
    </row>
    <row r="13" spans="1:14" x14ac:dyDescent="0.3">
      <c r="B13" s="11" t="s">
        <v>25</v>
      </c>
      <c r="C13" s="16">
        <f>SUMIFS(Ledger!$F$4:$F$10058,Ledger!$B$4:$B$10058,"Buy",Ledger!$D$4:$D$10058,B13,Ledger!$I$4:$I$10058, 1)+SUMIFS(Ledger!$F$4:$F$10058,Ledger!$B$4:$B$10058,"Level",Ledger!$C$4:$C$10058,"Attribute",Ledger!$D$4:$D$10058,B13,Ledger!$I$4:$I$10058, 1)</f>
        <v>14</v>
      </c>
      <c r="F13" s="11" t="s">
        <v>35</v>
      </c>
      <c r="G13" s="16">
        <f>$C$10-10</f>
        <v>6</v>
      </c>
    </row>
    <row r="14" spans="1:14" x14ac:dyDescent="0.3">
      <c r="B14" s="11" t="s">
        <v>24</v>
      </c>
      <c r="C14" s="16">
        <f>SUMIFS(Ledger!$F$4:$F$10058,Ledger!$B$4:$B$10058,"Buy",Ledger!$D$4:$D$10058,B14,Ledger!$I$4:$I$10058, 1)+SUMIFS(Ledger!$F$4:$F$10058,Ledger!$B$4:$B$10058,"Level",Ledger!$C$4:$C$10058,"Attribute",Ledger!$D$4:$D$10058,B14,Ledger!$I$4:$I$10058, 1)</f>
        <v>15</v>
      </c>
      <c r="F14" s="11" t="s">
        <v>39</v>
      </c>
      <c r="G14" s="17">
        <f>VLOOKUP(VLOOKUP($G$7, Tables!$A$4:$B$6, 2, FALSE), $B$10:$C$16, 2, FALSE)*0.1</f>
        <v>1.4000000000000001</v>
      </c>
    </row>
    <row r="15" spans="1:14" x14ac:dyDescent="0.3">
      <c r="B15" s="11" t="s">
        <v>28</v>
      </c>
      <c r="C15" s="16">
        <f>SUMIFS(Ledger!$F$4:$F$10058,Ledger!$B$4:$B$10058,"Buy",Ledger!$D$4:$D$10058,B15,Ledger!$I$4:$I$10058, 1)+SUMIFS(Ledger!$F$4:$F$10058,Ledger!$B$4:$B$10058,"Level",Ledger!$C$4:$C$10058,"Attribute",Ledger!$D$4:$D$10058,B15,Ledger!$I$4:$I$10058, 1)</f>
        <v>16</v>
      </c>
      <c r="F15" s="11" t="s">
        <v>34</v>
      </c>
      <c r="G15" s="16">
        <f>VLOOKUP(VLOOKUP($G$7, Tables!$A$4:$B$6, 2, FALSE), $B$10:$C$16, 2, FALSE)-10</f>
        <v>4</v>
      </c>
    </row>
    <row r="16" spans="1:14" ht="15" thickBot="1" x14ac:dyDescent="0.35">
      <c r="B16" s="12" t="s">
        <v>29</v>
      </c>
      <c r="C16" s="19">
        <f>SUMIFS(Ledger!$F$4:$F$10058,Ledger!$B$4:$B$10058,"Buy",Ledger!$D$4:$D$10058,B16,Ledger!$I$4:$I$10058, 1)+SUMIFS(Ledger!$F$4:$F$10058,Ledger!$B$4:$B$10058,"Level",Ledger!$C$4:$C$10058,"Attribute",Ledger!$D$4:$D$10058,B16,Ledger!$I$4:$I$10058, 1)</f>
        <v>17</v>
      </c>
      <c r="F16" s="12" t="s">
        <v>40</v>
      </c>
      <c r="G16" s="18">
        <f>($C$15-10)*3/100</f>
        <v>0.18</v>
      </c>
    </row>
    <row r="17" ht="15" thickTop="1" x14ac:dyDescent="0.3"/>
  </sheetData>
  <mergeCells count="4">
    <mergeCell ref="C5:D5"/>
    <mergeCell ref="C2:D2"/>
    <mergeCell ref="C4:D4"/>
    <mergeCell ref="C7:D7"/>
  </mergeCells>
  <conditionalFormatting sqref="N4:N10">
    <cfRule type="cellIs" dxfId="8" priority="8" operator="equal">
      <formula>"Ok"</formula>
    </cfRule>
    <cfRule type="cellIs" dxfId="7" priority="9" operator="equal">
      <formula>"Low"</formula>
    </cfRule>
    <cfRule type="cellIs" dxfId="6" priority="10" operator="equal">
      <formula>"High"</formula>
    </cfRule>
  </conditionalFormatting>
  <conditionalFormatting sqref="J4:J6">
    <cfRule type="cellIs" dxfId="5" priority="4" operator="equal">
      <formula>0</formula>
    </cfRule>
    <cfRule type="cellIs" dxfId="4" priority="5" operator="greaterThan">
      <formula>0</formula>
    </cfRule>
    <cfRule type="cellIs" dxfId="3" priority="6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lessThan" id="{0F13CB9E-AD8E-4B08-85F6-97169F47ADAA}">
            <xm:f>Tables!$I$4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" operator="equal" id="{5E7E0D43-9568-47F9-9471-576BD22F7C80}">
            <xm:f>Tables!$I$4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" operator="greaterThan" id="{D426F98F-D48B-48F3-8648-12003CFA0D90}">
            <xm:f>Tables!$I$4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Tables!$D$13:$D$17</xm:f>
          </x14:formula1>
          <xm:sqref>C5:D5</xm:sqref>
        </x14:dataValidation>
        <x14:dataValidation type="list" allowBlank="1" showInputMessage="1" showErrorMessage="1">
          <x14:formula1>
            <xm:f>Tables!A4:A6</xm:f>
          </x14:formula1>
          <xm:sqref>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5"/>
  <sheetViews>
    <sheetView workbookViewId="0">
      <selection activeCell="E5" sqref="E5"/>
    </sheetView>
  </sheetViews>
  <sheetFormatPr defaultRowHeight="14.4" x14ac:dyDescent="0.3"/>
  <cols>
    <col min="1" max="1" width="13.21875" customWidth="1"/>
    <col min="6" max="6" width="13.109375" customWidth="1"/>
    <col min="7" max="7" width="17.6640625" customWidth="1"/>
    <col min="8" max="8" width="18.21875" customWidth="1"/>
    <col min="10" max="10" width="9.33203125" customWidth="1"/>
  </cols>
  <sheetData>
    <row r="1" spans="1:11" ht="19.2" thickTop="1" thickBot="1" x14ac:dyDescent="0.4">
      <c r="A1" s="33" t="s">
        <v>73</v>
      </c>
      <c r="C1" s="8" t="s">
        <v>13</v>
      </c>
      <c r="D1" s="26">
        <v>41558</v>
      </c>
      <c r="E1" s="32"/>
    </row>
    <row r="2" spans="1:11" ht="15.6" thickTop="1" thickBot="1" x14ac:dyDescent="0.35"/>
    <row r="3" spans="1:11" ht="15.6" thickTop="1" thickBot="1" x14ac:dyDescent="0.35">
      <c r="A3" s="34" t="s">
        <v>6</v>
      </c>
      <c r="B3" s="35" t="s">
        <v>91</v>
      </c>
      <c r="C3" s="35" t="s">
        <v>70</v>
      </c>
      <c r="D3" s="35" t="s">
        <v>90</v>
      </c>
      <c r="E3" s="35" t="s">
        <v>89</v>
      </c>
      <c r="F3" s="35" t="s">
        <v>98</v>
      </c>
      <c r="G3" s="35" t="s">
        <v>99</v>
      </c>
      <c r="H3" s="35" t="s">
        <v>100</v>
      </c>
      <c r="I3" s="35" t="s">
        <v>75</v>
      </c>
      <c r="J3" s="35" t="s">
        <v>97</v>
      </c>
      <c r="K3" s="36" t="s">
        <v>76</v>
      </c>
    </row>
    <row r="4" spans="1:11" ht="15" thickTop="1" x14ac:dyDescent="0.3">
      <c r="A4" s="37" t="s">
        <v>88</v>
      </c>
      <c r="B4" s="38">
        <f>SUMIFS(Ledger!$F$4:$F$10058,Ledger!$B$4:$B$10058,"Spend",Ledger!$C$4:$C$10058,"Weapon",Ledger!$E$4:$E$10058,A4,Ledger!$I$4:$I$10058, 1)</f>
        <v>6</v>
      </c>
      <c r="C4">
        <f>TRUNC(logdown(B4,2))</f>
        <v>2</v>
      </c>
      <c r="D4">
        <f>VLOOKUP(A4,Tables!$D$21:$H$26,MATCH("Damage",Tables!$D$20:$H$20,0),FALSE)</f>
        <v>4.5</v>
      </c>
      <c r="E4">
        <f>RoundDownHalf(D4*Stats!$G$12)</f>
        <v>7</v>
      </c>
      <c r="F4" t="str">
        <f>MatrixLU(Tables!$U$3:$X$103, $E4, $F$3, "Unknown")</f>
        <v>1d4+1d6+1</v>
      </c>
      <c r="G4" t="str">
        <f>MatrixLU(Tables!$U$3:$X$103, $E4, $G$3, "Unknown")</f>
        <v>1d4+1d8</v>
      </c>
      <c r="H4" t="str">
        <f>MatrixLU(Tables!$U$3:$X$103, $E4, $H$3, "Unknown")</f>
        <v>1d4+1d10-1</v>
      </c>
      <c r="I4">
        <f>RoundUpHalf(VLOOKUP(A4,Tables!$D$21:$H$26,MATCH("BAD",Tables!$D$20:$H$20,0),FALSE)*logup(C4, Tables!$J$4))</f>
        <v>6</v>
      </c>
      <c r="J4" t="str">
        <f>MatrixLU(Tables!$U$3:$X$103, $I4, $H$3, "Unknown")</f>
        <v>1d4+1d8-1</v>
      </c>
      <c r="K4">
        <f>ROUNDUP(VLOOKUP(A4,Tables!$D$21:$H$26,MATCH("FT",Tables!$D$20:$H$20,0),FALSE)*logup(C4,Tables!$J$4),1)</f>
        <v>0</v>
      </c>
    </row>
    <row r="5" spans="1:11" x14ac:dyDescent="0.3">
      <c r="A5" s="37" t="s">
        <v>78</v>
      </c>
      <c r="B5" s="38">
        <f>SUMIFS(Ledger!$F$4:$F$10058,Ledger!$B$4:$B$10058,"Spend",Ledger!$C$4:$C$10058,"Weapon",Ledger!$E$4:$E$10058,A5,Ledger!$I$4:$I$10058, 1)</f>
        <v>32</v>
      </c>
      <c r="C5">
        <f>TRUNC(logdown(B5,2))</f>
        <v>5</v>
      </c>
      <c r="D5">
        <f>VLOOKUP(A5,Tables!$D$21:$H$26,MATCH("Damage",Tables!$D$20:$H$20,0),FALSE)</f>
        <v>6</v>
      </c>
      <c r="E5">
        <f>RoundDownHalf(D5*Stats!$G$12)</f>
        <v>9.5</v>
      </c>
      <c r="F5" t="str">
        <f>MatrixLU(Tables!$U$3:$X$103, $E5, $F$3, "Unknown")</f>
        <v>1d10+4</v>
      </c>
      <c r="G5" t="str">
        <f>MatrixLU(Tables!$U$3:$X$103, $E5, $G$3, "Unknown")</f>
        <v>2d4+1d8</v>
      </c>
      <c r="H5" t="str">
        <f>MatrixLU(Tables!$U$3:$X$103, $E5, $H$3, "Unknown")</f>
        <v>2d4+1d12-2</v>
      </c>
      <c r="I5">
        <f>RoundUpHalf(VLOOKUP(A5,Tables!$D$21:$H$26,MATCH("BAD",Tables!$D$20:$H$20,0),FALSE)*logup(C5, Tables!$J$4))</f>
        <v>0</v>
      </c>
      <c r="J5" t="str">
        <f>MatrixLU(Tables!$U$3:$X$103, $I5, $H$3, "Unknown")</f>
        <v>Unknown</v>
      </c>
      <c r="K5">
        <f>ROUNDUP(VLOOKUP(A5,Tables!$D$21:$H$26,MATCH("FT",Tables!$D$20:$H$20,0),FALSE)*logup(C5,Tables!$J$4),0)</f>
        <v>4</v>
      </c>
    </row>
  </sheetData>
  <mergeCells count="1">
    <mergeCell ref="D1:E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"/>
  <sheetViews>
    <sheetView workbookViewId="0">
      <selection activeCell="D6" sqref="D6"/>
    </sheetView>
  </sheetViews>
  <sheetFormatPr defaultRowHeight="14.4" x14ac:dyDescent="0.3"/>
  <sheetData>
    <row r="1" spans="1:5" ht="19.2" thickTop="1" thickBot="1" x14ac:dyDescent="0.4">
      <c r="A1" s="33" t="s">
        <v>80</v>
      </c>
      <c r="C1" s="8" t="s">
        <v>13</v>
      </c>
      <c r="D1" s="26">
        <v>41558</v>
      </c>
      <c r="E1" s="32"/>
    </row>
    <row r="2" spans="1:5" ht="15.6" thickTop="1" thickBot="1" x14ac:dyDescent="0.35"/>
    <row r="3" spans="1:5" ht="15.6" thickTop="1" thickBot="1" x14ac:dyDescent="0.35">
      <c r="A3" s="34" t="s">
        <v>6</v>
      </c>
      <c r="B3" s="35" t="s">
        <v>91</v>
      </c>
      <c r="C3" s="35" t="s">
        <v>70</v>
      </c>
      <c r="D3" s="42" t="s">
        <v>101</v>
      </c>
      <c r="E3" s="42" t="s">
        <v>102</v>
      </c>
    </row>
    <row r="4" spans="1:5" ht="15" thickTop="1" x14ac:dyDescent="0.3">
      <c r="A4" s="37" t="s">
        <v>85</v>
      </c>
      <c r="B4" s="38">
        <f>SUMIFS(Ledger!$F$4:$F$10058,Ledger!$B$4:$B$10058,"Spend",Ledger!$C$4:$C$10058,"Magic",Ledger!$E$4:$E$10058,A4,Ledger!$I$4:$I$10058, 1)</f>
        <v>4</v>
      </c>
      <c r="C4">
        <f>TRUNC(logdown(B4,2))</f>
        <v>2</v>
      </c>
    </row>
  </sheetData>
  <mergeCells count="1">
    <mergeCell ref="D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"/>
  <sheetViews>
    <sheetView workbookViewId="0">
      <selection activeCell="B4" sqref="B4"/>
    </sheetView>
  </sheetViews>
  <sheetFormatPr defaultRowHeight="14.4" x14ac:dyDescent="0.3"/>
  <cols>
    <col min="1" max="1" width="15.6640625" customWidth="1"/>
  </cols>
  <sheetData>
    <row r="1" spans="1:5" ht="19.2" thickTop="1" thickBot="1" x14ac:dyDescent="0.4">
      <c r="A1" s="33" t="s">
        <v>81</v>
      </c>
      <c r="C1" s="8" t="s">
        <v>13</v>
      </c>
      <c r="D1" s="26">
        <v>41558</v>
      </c>
      <c r="E1" s="32"/>
    </row>
    <row r="2" spans="1:5" ht="15.6" thickTop="1" thickBot="1" x14ac:dyDescent="0.35"/>
    <row r="3" spans="1:5" ht="15.6" thickTop="1" thickBot="1" x14ac:dyDescent="0.35">
      <c r="A3" s="34" t="s">
        <v>6</v>
      </c>
      <c r="B3" s="35" t="s">
        <v>91</v>
      </c>
      <c r="C3" s="35" t="s">
        <v>70</v>
      </c>
    </row>
    <row r="4" spans="1:5" ht="15" thickTop="1" x14ac:dyDescent="0.3">
      <c r="A4" s="37" t="s">
        <v>87</v>
      </c>
      <c r="B4" s="38">
        <f>SUMIFS(Ledger!$F$4:$F$10058,Ledger!$B$4:$B$10058,"Spend",Ledger!$C$4:$C$10058,"Skill",Ledger!$E$4:$E$10058,A4,Ledger!$I$4:$I$10058, 1)</f>
        <v>5</v>
      </c>
      <c r="C4">
        <f>TRUNC(logdown(B4,2))</f>
        <v>2</v>
      </c>
    </row>
  </sheetData>
  <mergeCells count="1">
    <mergeCell ref="D1:E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"/>
  <sheetViews>
    <sheetView topLeftCell="A4" workbookViewId="0">
      <selection activeCell="F5" sqref="F5"/>
    </sheetView>
  </sheetViews>
  <sheetFormatPr defaultRowHeight="14.4" x14ac:dyDescent="0.3"/>
  <cols>
    <col min="1" max="1" width="18.5546875" customWidth="1"/>
    <col min="2" max="2" width="11.5546875" customWidth="1"/>
    <col min="4" max="5" width="15" customWidth="1"/>
    <col min="7" max="7" width="34.44140625" customWidth="1"/>
    <col min="9" max="9" width="11.77734375" customWidth="1"/>
  </cols>
  <sheetData>
    <row r="1" spans="1:9" ht="19.2" thickTop="1" thickBot="1" x14ac:dyDescent="0.4">
      <c r="A1" s="1" t="s">
        <v>82</v>
      </c>
      <c r="B1" s="2"/>
      <c r="C1" s="8" t="s">
        <v>13</v>
      </c>
      <c r="D1" s="26">
        <v>41558</v>
      </c>
      <c r="E1" s="27"/>
      <c r="G1" s="2"/>
    </row>
    <row r="2" spans="1:9" ht="15.6" thickTop="1" thickBot="1" x14ac:dyDescent="0.35">
      <c r="A2" s="2"/>
      <c r="B2" s="2"/>
      <c r="C2" s="2"/>
      <c r="D2" s="2"/>
      <c r="E2" s="2"/>
      <c r="F2" s="2"/>
      <c r="G2" s="2"/>
      <c r="I2" t="s">
        <v>12</v>
      </c>
    </row>
    <row r="3" spans="1:9" ht="15.6" thickTop="1" thickBot="1" x14ac:dyDescent="0.35">
      <c r="A3" s="47" t="s">
        <v>13</v>
      </c>
      <c r="B3" s="48" t="s">
        <v>14</v>
      </c>
      <c r="C3" s="48" t="s">
        <v>16</v>
      </c>
      <c r="D3" s="48" t="s">
        <v>15</v>
      </c>
      <c r="E3" s="48" t="s">
        <v>84</v>
      </c>
      <c r="F3" s="48" t="s">
        <v>17</v>
      </c>
      <c r="G3" s="48" t="s">
        <v>18</v>
      </c>
      <c r="H3" s="48" t="s">
        <v>19</v>
      </c>
      <c r="I3" s="49" t="s">
        <v>20</v>
      </c>
    </row>
    <row r="4" spans="1:9" ht="15" thickTop="1" x14ac:dyDescent="0.3">
      <c r="A4" s="45">
        <v>41526</v>
      </c>
      <c r="B4" s="46" t="s">
        <v>21</v>
      </c>
      <c r="C4" s="46" t="s">
        <v>38</v>
      </c>
      <c r="D4" s="46" t="s">
        <v>22</v>
      </c>
      <c r="E4" s="46"/>
      <c r="F4" s="46">
        <v>15</v>
      </c>
      <c r="G4" s="46" t="s">
        <v>23</v>
      </c>
      <c r="H4" s="5">
        <f>IF(B4 = "Buy", F4 * VLOOKUP(D4,Tables!$D$4:$E$10,2,FALSE),  IF(B4="Spend", F4, 0))</f>
        <v>15</v>
      </c>
      <c r="I4" s="5">
        <f>IF(A4 &lt;= $D$1, 1, 0)</f>
        <v>1</v>
      </c>
    </row>
    <row r="5" spans="1:9" x14ac:dyDescent="0.3">
      <c r="A5" s="3">
        <v>41526</v>
      </c>
      <c r="B5" s="4" t="s">
        <v>21</v>
      </c>
      <c r="C5" s="4" t="s">
        <v>38</v>
      </c>
      <c r="D5" s="4" t="s">
        <v>27</v>
      </c>
      <c r="E5" s="4"/>
      <c r="F5" s="4">
        <v>12</v>
      </c>
      <c r="G5" s="4" t="s">
        <v>23</v>
      </c>
      <c r="H5" s="5">
        <f>IF(B5 = "Buy", F5 * VLOOKUP(D5,Tables!$D$4:$E$10,2,FALSE),  IF(B5="Spend", F5, 0))</f>
        <v>12</v>
      </c>
      <c r="I5" s="5">
        <f>IF(A5 &lt;= $D$1, 1, 0)</f>
        <v>1</v>
      </c>
    </row>
    <row r="6" spans="1:9" x14ac:dyDescent="0.3">
      <c r="A6" s="3">
        <v>41526</v>
      </c>
      <c r="B6" s="4" t="s">
        <v>21</v>
      </c>
      <c r="C6" s="4" t="s">
        <v>38</v>
      </c>
      <c r="D6" s="4" t="s">
        <v>26</v>
      </c>
      <c r="E6" s="4"/>
      <c r="F6" s="4">
        <v>13</v>
      </c>
      <c r="G6" s="4" t="s">
        <v>23</v>
      </c>
      <c r="H6" s="5">
        <f>IF(B6 = "Buy", F6 * VLOOKUP(D6,Tables!$D$4:$E$10,2,FALSE),  IF(B6="Spend", F6, 0))</f>
        <v>13</v>
      </c>
      <c r="I6" s="5">
        <f>IF(A6 &lt;= $D$1, 1, 0)</f>
        <v>1</v>
      </c>
    </row>
    <row r="7" spans="1:9" x14ac:dyDescent="0.3">
      <c r="A7" s="3">
        <v>41526</v>
      </c>
      <c r="B7" s="4" t="s">
        <v>21</v>
      </c>
      <c r="C7" s="4" t="s">
        <v>38</v>
      </c>
      <c r="D7" s="4" t="s">
        <v>25</v>
      </c>
      <c r="E7" s="4"/>
      <c r="F7" s="4">
        <v>14</v>
      </c>
      <c r="G7" s="4" t="s">
        <v>23</v>
      </c>
      <c r="H7" s="5">
        <f>IF(B7 = "Buy", F7 * VLOOKUP(D7,Tables!$D$4:$E$10,2,FALSE),  IF(B7="Spend", F7, 0))</f>
        <v>14</v>
      </c>
      <c r="I7" s="5">
        <f>IF(A7 &lt;= $D$1, 1, 0)</f>
        <v>1</v>
      </c>
    </row>
    <row r="8" spans="1:9" x14ac:dyDescent="0.3">
      <c r="A8" s="3">
        <v>41526</v>
      </c>
      <c r="B8" s="4" t="s">
        <v>21</v>
      </c>
      <c r="C8" s="4" t="s">
        <v>38</v>
      </c>
      <c r="D8" s="4" t="s">
        <v>24</v>
      </c>
      <c r="E8" s="4"/>
      <c r="F8" s="4">
        <v>15</v>
      </c>
      <c r="G8" s="4" t="s">
        <v>23</v>
      </c>
      <c r="H8" s="5">
        <f>IF(B8 = "Buy", F8 * VLOOKUP(D8,Tables!$D$4:$E$10,2,FALSE),  IF(B8="Spend", F8, 0))</f>
        <v>15</v>
      </c>
      <c r="I8" s="5">
        <f>IF(A8 &lt;= $D$1, 1, 0)</f>
        <v>1</v>
      </c>
    </row>
    <row r="9" spans="1:9" x14ac:dyDescent="0.3">
      <c r="A9" s="3">
        <v>41526</v>
      </c>
      <c r="B9" s="4" t="s">
        <v>21</v>
      </c>
      <c r="C9" s="4" t="s">
        <v>38</v>
      </c>
      <c r="D9" s="4" t="s">
        <v>28</v>
      </c>
      <c r="E9" s="4"/>
      <c r="F9" s="4">
        <v>16</v>
      </c>
      <c r="G9" s="4" t="s">
        <v>23</v>
      </c>
      <c r="H9" s="5">
        <f>IF(B9 = "Buy", F9 * VLOOKUP(D9,Tables!$D$4:$E$10,2,FALSE),  IF(B9="Spend", F9, 0))</f>
        <v>16</v>
      </c>
      <c r="I9" s="5">
        <f>IF(A9 &lt;= $D$1, 1, 0)</f>
        <v>1</v>
      </c>
    </row>
    <row r="10" spans="1:9" x14ac:dyDescent="0.3">
      <c r="A10" s="3">
        <v>41526</v>
      </c>
      <c r="B10" s="4" t="s">
        <v>21</v>
      </c>
      <c r="C10" s="4" t="s">
        <v>38</v>
      </c>
      <c r="D10" s="4" t="s">
        <v>29</v>
      </c>
      <c r="E10" s="4"/>
      <c r="F10" s="4">
        <v>17</v>
      </c>
      <c r="G10" s="4" t="s">
        <v>23</v>
      </c>
      <c r="H10" s="5">
        <f>IF(B10 = "Buy", F10 * VLOOKUP(D10,Tables!$D$4:$E$10,2,FALSE),  IF(B10="Spend", F10, 0))</f>
        <v>0</v>
      </c>
      <c r="I10" s="5">
        <f>IF(A10 &lt;= $D$1, 1, 0)</f>
        <v>1</v>
      </c>
    </row>
    <row r="11" spans="1:9" x14ac:dyDescent="0.3">
      <c r="A11" s="3">
        <v>41527</v>
      </c>
      <c r="B11" s="4" t="s">
        <v>70</v>
      </c>
      <c r="C11" s="4" t="s">
        <v>38</v>
      </c>
      <c r="D11" s="4" t="s">
        <v>22</v>
      </c>
      <c r="E11" s="4"/>
      <c r="F11" s="4">
        <v>1</v>
      </c>
      <c r="G11" s="4" t="s">
        <v>62</v>
      </c>
      <c r="H11" s="5">
        <f>IF(B11 = "Buy", F11 * VLOOKUP(D11,Tables!$D$4:$E$10,2,FALSE),  IF(B11="Spend", F11, 0))</f>
        <v>0</v>
      </c>
      <c r="I11" s="5">
        <f>IF(A11 &lt;= $D$1, 1, 0)</f>
        <v>1</v>
      </c>
    </row>
    <row r="12" spans="1:9" x14ac:dyDescent="0.3">
      <c r="A12" s="3">
        <v>41527</v>
      </c>
      <c r="B12" s="4" t="s">
        <v>70</v>
      </c>
      <c r="C12" s="4" t="s">
        <v>43</v>
      </c>
      <c r="D12" s="4" t="s">
        <v>22</v>
      </c>
      <c r="E12" s="4"/>
      <c r="F12" s="4">
        <v>1</v>
      </c>
      <c r="G12" s="4" t="s">
        <v>62</v>
      </c>
      <c r="H12" s="5">
        <f>IF(B12 = "Buy", F12 * VLOOKUP(D12,Tables!$D$4:$E$10,2,FALSE),  IF(B12="Spend", F12, 0))</f>
        <v>0</v>
      </c>
      <c r="I12" s="5">
        <f>IF(A12 &lt;= $D$1, 1, 0)</f>
        <v>1</v>
      </c>
    </row>
    <row r="13" spans="1:9" x14ac:dyDescent="0.3">
      <c r="A13" s="3">
        <v>41528</v>
      </c>
      <c r="B13" s="4" t="s">
        <v>70</v>
      </c>
      <c r="C13" s="4" t="s">
        <v>38</v>
      </c>
      <c r="D13" s="4" t="s">
        <v>26</v>
      </c>
      <c r="E13" s="4"/>
      <c r="F13" s="4">
        <v>1</v>
      </c>
      <c r="G13" s="4" t="s">
        <v>63</v>
      </c>
      <c r="H13" s="5">
        <f>IF(B13 = "Buy", F13 * VLOOKUP(D13,Tables!$D$4:$E$10,2,FALSE),  IF(B13="Spend", F13, 0))</f>
        <v>0</v>
      </c>
      <c r="I13" s="5">
        <f>IF(A13 &lt;= $D$1, 1, 0)</f>
        <v>1</v>
      </c>
    </row>
    <row r="14" spans="1:9" x14ac:dyDescent="0.3">
      <c r="A14" s="3">
        <v>41528</v>
      </c>
      <c r="B14" s="4" t="s">
        <v>70</v>
      </c>
      <c r="C14" s="4" t="s">
        <v>72</v>
      </c>
      <c r="D14" s="4" t="s">
        <v>22</v>
      </c>
      <c r="E14" s="4"/>
      <c r="F14" s="4">
        <v>1</v>
      </c>
      <c r="G14" s="4" t="s">
        <v>63</v>
      </c>
      <c r="H14" s="5">
        <f>IF(B14 = "Buy", F14 * VLOOKUP(D14,Tables!$D$4:$E$10,2,FALSE),  IF(B14="Spend", F14, 0))</f>
        <v>0</v>
      </c>
      <c r="I14" s="5">
        <f>IF(A14 &lt;= $D$1, 1, 0)</f>
        <v>1</v>
      </c>
    </row>
    <row r="15" spans="1:9" x14ac:dyDescent="0.3">
      <c r="A15" s="3">
        <v>41529</v>
      </c>
      <c r="B15" s="4" t="s">
        <v>83</v>
      </c>
      <c r="C15" s="4" t="s">
        <v>3</v>
      </c>
      <c r="D15" s="4" t="s">
        <v>22</v>
      </c>
      <c r="E15" s="4" t="s">
        <v>85</v>
      </c>
      <c r="F15" s="4">
        <v>4</v>
      </c>
      <c r="G15" s="4" t="s">
        <v>86</v>
      </c>
      <c r="H15" s="5">
        <f>IF(B15 = "Buy", F15 * VLOOKUP(D15,Tables!$D$4:$E$10,2,FALSE),  IF(B15="Spend", F15, 0))</f>
        <v>4</v>
      </c>
      <c r="I15" s="5">
        <f>IF(A15 &lt;= $D$1, 1, 0)</f>
        <v>1</v>
      </c>
    </row>
    <row r="16" spans="1:9" x14ac:dyDescent="0.3">
      <c r="A16" s="3">
        <v>41530</v>
      </c>
      <c r="B16" s="4" t="s">
        <v>83</v>
      </c>
      <c r="C16" s="4" t="s">
        <v>4</v>
      </c>
      <c r="D16" s="4" t="s">
        <v>22</v>
      </c>
      <c r="E16" s="4" t="s">
        <v>87</v>
      </c>
      <c r="F16" s="4">
        <v>5</v>
      </c>
      <c r="G16" s="4" t="s">
        <v>86</v>
      </c>
      <c r="H16" s="5">
        <f>IF(B16 = "Buy", F16 * VLOOKUP(D16,Tables!$D$4:$E$10,2,FALSE),  IF(B16="Spend", F16, 0))</f>
        <v>5</v>
      </c>
      <c r="I16" s="5">
        <f>IF(A16 &lt;= $D$1, 1, 0)</f>
        <v>1</v>
      </c>
    </row>
    <row r="17" spans="1:9" x14ac:dyDescent="0.3">
      <c r="A17" s="3">
        <v>41531</v>
      </c>
      <c r="B17" s="4" t="s">
        <v>83</v>
      </c>
      <c r="C17" s="4" t="s">
        <v>72</v>
      </c>
      <c r="D17" s="4" t="s">
        <v>22</v>
      </c>
      <c r="E17" s="4" t="s">
        <v>88</v>
      </c>
      <c r="F17" s="4">
        <v>6</v>
      </c>
      <c r="G17" s="4" t="s">
        <v>86</v>
      </c>
      <c r="H17" s="5">
        <f>IF(B17 = "Buy", F17 * VLOOKUP(D17,Tables!$D$4:$E$10,2,FALSE),  IF(B17="Spend", F17, 0))</f>
        <v>6</v>
      </c>
      <c r="I17" s="5">
        <f>IF(A17 &lt;= $D$1, 1, 0)</f>
        <v>1</v>
      </c>
    </row>
    <row r="18" spans="1:9" x14ac:dyDescent="0.3">
      <c r="A18" s="3">
        <v>41532</v>
      </c>
      <c r="B18" s="4" t="s">
        <v>83</v>
      </c>
      <c r="C18" s="4" t="s">
        <v>72</v>
      </c>
      <c r="D18" s="4" t="s">
        <v>22</v>
      </c>
      <c r="E18" s="4" t="s">
        <v>78</v>
      </c>
      <c r="F18" s="4">
        <v>32</v>
      </c>
      <c r="G18" s="4" t="s">
        <v>86</v>
      </c>
      <c r="H18" s="5">
        <f>IF(B18 = "Buy", F18 * VLOOKUP(D18,Tables!$D$4:$E$10,2,FALSE),  IF(B18="Spend", F18, 0))</f>
        <v>32</v>
      </c>
      <c r="I18" s="5">
        <f>IF(A18 &lt;= $D$1, 1, 0)</f>
        <v>1</v>
      </c>
    </row>
  </sheetData>
  <mergeCells count="1">
    <mergeCell ref="D1:E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Tables!$A$9:$A$199</xm:f>
          </x14:formula1>
          <xm:sqref>B4:B18</xm:sqref>
        </x14:dataValidation>
        <x14:dataValidation type="list" allowBlank="1" showInputMessage="1" showErrorMessage="1">
          <x14:formula1>
            <xm:f>Tables!$D$4:$D$10</xm:f>
          </x14:formula1>
          <xm:sqref>D4:D18</xm:sqref>
        </x14:dataValidation>
        <x14:dataValidation type="list" allowBlank="1" showInputMessage="1" showErrorMessage="1">
          <x14:formula1>
            <xm:f>Tables!$A$21:$A$25</xm:f>
          </x14:formula1>
          <xm:sqref>C4:C18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103"/>
  <sheetViews>
    <sheetView workbookViewId="0">
      <selection activeCell="Q4" sqref="Q4"/>
    </sheetView>
  </sheetViews>
  <sheetFormatPr defaultRowHeight="14.4" x14ac:dyDescent="0.3"/>
  <cols>
    <col min="1" max="1" width="13.109375" customWidth="1"/>
    <col min="2" max="2" width="10.109375" customWidth="1"/>
    <col min="4" max="4" width="10" customWidth="1"/>
    <col min="14" max="14" width="11.44140625" customWidth="1"/>
    <col min="20" max="20" width="5" customWidth="1"/>
    <col min="21" max="21" width="9.88671875" customWidth="1"/>
    <col min="22" max="22" width="21.33203125" bestFit="1" customWidth="1"/>
    <col min="23" max="23" width="20.88671875" bestFit="1" customWidth="1"/>
    <col min="24" max="24" width="21.5546875" customWidth="1"/>
  </cols>
  <sheetData>
    <row r="2" spans="1:24" x14ac:dyDescent="0.3">
      <c r="U2" t="s">
        <v>117</v>
      </c>
      <c r="V2" s="43">
        <v>0.5</v>
      </c>
      <c r="W2" s="44">
        <v>0.25</v>
      </c>
      <c r="X2" s="43">
        <v>0</v>
      </c>
    </row>
    <row r="3" spans="1:24" x14ac:dyDescent="0.3">
      <c r="A3" s="6" t="s">
        <v>8</v>
      </c>
      <c r="B3" s="6" t="s">
        <v>38</v>
      </c>
      <c r="D3" s="6" t="s">
        <v>15</v>
      </c>
      <c r="E3" s="6" t="s">
        <v>30</v>
      </c>
      <c r="F3" s="6" t="s">
        <v>66</v>
      </c>
      <c r="G3" s="6" t="s">
        <v>67</v>
      </c>
      <c r="I3" s="6" t="s">
        <v>96</v>
      </c>
      <c r="J3" s="6" t="s">
        <v>92</v>
      </c>
      <c r="U3" s="6" t="s">
        <v>103</v>
      </c>
      <c r="V3" s="6" t="s">
        <v>98</v>
      </c>
      <c r="W3" s="6" t="s">
        <v>99</v>
      </c>
      <c r="X3" s="6" t="s">
        <v>100</v>
      </c>
    </row>
    <row r="4" spans="1:24" x14ac:dyDescent="0.3">
      <c r="A4" t="s">
        <v>10</v>
      </c>
      <c r="B4" t="s">
        <v>26</v>
      </c>
      <c r="D4" t="s">
        <v>22</v>
      </c>
      <c r="E4">
        <v>1</v>
      </c>
      <c r="F4" t="s">
        <v>44</v>
      </c>
      <c r="G4" t="s">
        <v>45</v>
      </c>
      <c r="I4">
        <v>85</v>
      </c>
      <c r="J4">
        <v>0.96</v>
      </c>
      <c r="U4">
        <v>3.5</v>
      </c>
      <c r="V4" t="s">
        <v>104</v>
      </c>
      <c r="W4" t="s">
        <v>105</v>
      </c>
      <c r="X4" t="s">
        <v>105</v>
      </c>
    </row>
    <row r="5" spans="1:24" x14ac:dyDescent="0.3">
      <c r="A5" t="s">
        <v>9</v>
      </c>
      <c r="B5" t="s">
        <v>26</v>
      </c>
      <c r="D5" t="s">
        <v>27</v>
      </c>
      <c r="E5">
        <v>1</v>
      </c>
      <c r="F5" t="s">
        <v>46</v>
      </c>
      <c r="G5" t="s">
        <v>47</v>
      </c>
      <c r="U5">
        <v>4</v>
      </c>
      <c r="V5" t="s">
        <v>114</v>
      </c>
      <c r="W5" t="s">
        <v>114</v>
      </c>
      <c r="X5" t="s">
        <v>114</v>
      </c>
    </row>
    <row r="6" spans="1:24" x14ac:dyDescent="0.3">
      <c r="A6" t="s">
        <v>11</v>
      </c>
      <c r="B6" t="s">
        <v>27</v>
      </c>
      <c r="D6" t="s">
        <v>26</v>
      </c>
      <c r="E6">
        <v>1</v>
      </c>
      <c r="F6" t="s">
        <v>48</v>
      </c>
      <c r="G6" t="s">
        <v>49</v>
      </c>
      <c r="U6">
        <v>4.5</v>
      </c>
      <c r="V6" t="s">
        <v>106</v>
      </c>
      <c r="W6" t="s">
        <v>111</v>
      </c>
      <c r="X6" t="s">
        <v>107</v>
      </c>
    </row>
    <row r="7" spans="1:24" x14ac:dyDescent="0.3">
      <c r="D7" t="s">
        <v>25</v>
      </c>
      <c r="E7">
        <v>1</v>
      </c>
      <c r="F7" t="s">
        <v>50</v>
      </c>
      <c r="G7" t="s">
        <v>51</v>
      </c>
      <c r="U7">
        <v>5</v>
      </c>
      <c r="V7" t="s">
        <v>122</v>
      </c>
      <c r="W7" t="s">
        <v>122</v>
      </c>
      <c r="X7" t="s">
        <v>122</v>
      </c>
    </row>
    <row r="8" spans="1:24" x14ac:dyDescent="0.3">
      <c r="A8" s="6" t="s">
        <v>31</v>
      </c>
      <c r="D8" t="s">
        <v>24</v>
      </c>
      <c r="E8">
        <v>1</v>
      </c>
      <c r="F8" t="s">
        <v>52</v>
      </c>
      <c r="G8" t="s">
        <v>53</v>
      </c>
      <c r="U8">
        <v>5.5</v>
      </c>
      <c r="V8" t="s">
        <v>113</v>
      </c>
      <c r="W8" t="s">
        <v>112</v>
      </c>
      <c r="X8" t="s">
        <v>108</v>
      </c>
    </row>
    <row r="9" spans="1:24" x14ac:dyDescent="0.3">
      <c r="A9" t="s">
        <v>21</v>
      </c>
      <c r="D9" t="s">
        <v>28</v>
      </c>
      <c r="E9">
        <v>1</v>
      </c>
      <c r="F9" t="s">
        <v>54</v>
      </c>
      <c r="G9" t="s">
        <v>55</v>
      </c>
      <c r="U9">
        <v>6</v>
      </c>
      <c r="V9" t="s">
        <v>123</v>
      </c>
      <c r="W9" t="s">
        <v>123</v>
      </c>
      <c r="X9" t="s">
        <v>124</v>
      </c>
    </row>
    <row r="10" spans="1:24" x14ac:dyDescent="0.3">
      <c r="A10" t="s">
        <v>70</v>
      </c>
      <c r="D10" t="s">
        <v>29</v>
      </c>
      <c r="E10">
        <v>0</v>
      </c>
      <c r="F10" t="s">
        <v>56</v>
      </c>
      <c r="G10" t="s">
        <v>57</v>
      </c>
      <c r="U10">
        <v>6.5</v>
      </c>
      <c r="V10" t="s">
        <v>118</v>
      </c>
      <c r="W10" t="s">
        <v>115</v>
      </c>
      <c r="X10" t="s">
        <v>109</v>
      </c>
    </row>
    <row r="11" spans="1:24" x14ac:dyDescent="0.3">
      <c r="A11" t="s">
        <v>83</v>
      </c>
      <c r="U11">
        <v>7</v>
      </c>
      <c r="V11" t="s">
        <v>125</v>
      </c>
      <c r="W11" t="s">
        <v>126</v>
      </c>
      <c r="X11" t="s">
        <v>127</v>
      </c>
    </row>
    <row r="12" spans="1:24" x14ac:dyDescent="0.3">
      <c r="D12" s="6" t="s">
        <v>7</v>
      </c>
      <c r="E12" s="6" t="s">
        <v>44</v>
      </c>
      <c r="F12" s="6" t="s">
        <v>45</v>
      </c>
      <c r="G12" s="6" t="s">
        <v>46</v>
      </c>
      <c r="H12" s="6" t="s">
        <v>47</v>
      </c>
      <c r="I12" s="6" t="s">
        <v>48</v>
      </c>
      <c r="J12" s="6" t="s">
        <v>49</v>
      </c>
      <c r="K12" s="6" t="s">
        <v>50</v>
      </c>
      <c r="L12" s="6" t="s">
        <v>51</v>
      </c>
      <c r="M12" s="6" t="s">
        <v>52</v>
      </c>
      <c r="N12" s="6" t="s">
        <v>53</v>
      </c>
      <c r="O12" s="6" t="s">
        <v>54</v>
      </c>
      <c r="P12" s="6" t="s">
        <v>55</v>
      </c>
      <c r="Q12" s="6" t="s">
        <v>56</v>
      </c>
      <c r="R12" s="6" t="s">
        <v>57</v>
      </c>
      <c r="U12">
        <v>7.5</v>
      </c>
      <c r="V12" t="s">
        <v>119</v>
      </c>
      <c r="W12" t="s">
        <v>116</v>
      </c>
      <c r="X12" t="s">
        <v>128</v>
      </c>
    </row>
    <row r="13" spans="1:24" x14ac:dyDescent="0.3">
      <c r="D13" t="s">
        <v>37</v>
      </c>
      <c r="E13">
        <v>5</v>
      </c>
      <c r="F13">
        <v>16</v>
      </c>
      <c r="G13">
        <v>10</v>
      </c>
      <c r="H13">
        <v>20</v>
      </c>
      <c r="I13">
        <v>10</v>
      </c>
      <c r="J13">
        <v>20</v>
      </c>
      <c r="K13">
        <v>10</v>
      </c>
      <c r="L13">
        <v>20</v>
      </c>
      <c r="M13">
        <v>10</v>
      </c>
      <c r="N13">
        <v>20</v>
      </c>
      <c r="O13">
        <v>10</v>
      </c>
      <c r="P13">
        <v>20</v>
      </c>
      <c r="Q13">
        <v>10</v>
      </c>
      <c r="R13">
        <v>20</v>
      </c>
      <c r="U13">
        <v>8</v>
      </c>
      <c r="V13" t="s">
        <v>129</v>
      </c>
      <c r="W13" t="s">
        <v>130</v>
      </c>
      <c r="X13" t="s">
        <v>131</v>
      </c>
    </row>
    <row r="14" spans="1:24" x14ac:dyDescent="0.3">
      <c r="D14" t="s">
        <v>58</v>
      </c>
      <c r="E14">
        <v>12</v>
      </c>
      <c r="F14">
        <v>22</v>
      </c>
      <c r="G14">
        <v>10</v>
      </c>
      <c r="H14">
        <v>20</v>
      </c>
      <c r="I14">
        <v>10</v>
      </c>
      <c r="J14">
        <v>20</v>
      </c>
      <c r="K14">
        <v>10</v>
      </c>
      <c r="L14">
        <v>20</v>
      </c>
      <c r="M14">
        <v>10</v>
      </c>
      <c r="N14">
        <v>20</v>
      </c>
      <c r="O14">
        <v>10</v>
      </c>
      <c r="P14">
        <v>20</v>
      </c>
      <c r="Q14">
        <v>10</v>
      </c>
      <c r="R14">
        <v>20</v>
      </c>
      <c r="U14">
        <v>8.5</v>
      </c>
      <c r="V14" t="s">
        <v>120</v>
      </c>
      <c r="W14" t="s">
        <v>132</v>
      </c>
      <c r="X14" t="s">
        <v>133</v>
      </c>
    </row>
    <row r="15" spans="1:24" x14ac:dyDescent="0.3">
      <c r="D15" t="s">
        <v>59</v>
      </c>
      <c r="E15">
        <v>10</v>
      </c>
      <c r="F15">
        <v>20</v>
      </c>
      <c r="G15">
        <v>10</v>
      </c>
      <c r="H15">
        <v>20</v>
      </c>
      <c r="I15">
        <v>10</v>
      </c>
      <c r="J15">
        <v>20</v>
      </c>
      <c r="K15">
        <v>10</v>
      </c>
      <c r="L15">
        <v>20</v>
      </c>
      <c r="M15">
        <v>10</v>
      </c>
      <c r="N15">
        <v>20</v>
      </c>
      <c r="O15">
        <v>10</v>
      </c>
      <c r="P15">
        <v>20</v>
      </c>
      <c r="Q15">
        <v>10</v>
      </c>
      <c r="R15">
        <v>20</v>
      </c>
      <c r="U15">
        <v>9</v>
      </c>
      <c r="V15" t="s">
        <v>134</v>
      </c>
      <c r="W15" t="s">
        <v>135</v>
      </c>
      <c r="X15" t="s">
        <v>136</v>
      </c>
    </row>
    <row r="16" spans="1:24" x14ac:dyDescent="0.3">
      <c r="D16" t="s">
        <v>60</v>
      </c>
      <c r="E16">
        <v>8</v>
      </c>
      <c r="F16">
        <v>18</v>
      </c>
      <c r="G16">
        <v>10</v>
      </c>
      <c r="H16">
        <v>20</v>
      </c>
      <c r="I16">
        <v>10</v>
      </c>
      <c r="J16">
        <v>20</v>
      </c>
      <c r="K16">
        <v>10</v>
      </c>
      <c r="L16">
        <v>20</v>
      </c>
      <c r="M16">
        <v>10</v>
      </c>
      <c r="N16">
        <v>20</v>
      </c>
      <c r="O16">
        <v>10</v>
      </c>
      <c r="P16">
        <v>20</v>
      </c>
      <c r="Q16">
        <v>10</v>
      </c>
      <c r="R16">
        <v>20</v>
      </c>
      <c r="U16">
        <v>9.5</v>
      </c>
      <c r="V16" t="s">
        <v>121</v>
      </c>
      <c r="W16" t="s">
        <v>137</v>
      </c>
      <c r="X16" t="s">
        <v>138</v>
      </c>
    </row>
    <row r="17" spans="1:24" x14ac:dyDescent="0.3">
      <c r="D17" t="s">
        <v>61</v>
      </c>
      <c r="E17">
        <v>10</v>
      </c>
      <c r="F17">
        <v>20</v>
      </c>
      <c r="G17">
        <v>10</v>
      </c>
      <c r="H17">
        <v>20</v>
      </c>
      <c r="I17">
        <v>10</v>
      </c>
      <c r="J17">
        <v>20</v>
      </c>
      <c r="K17">
        <v>10</v>
      </c>
      <c r="L17">
        <v>20</v>
      </c>
      <c r="M17">
        <v>10</v>
      </c>
      <c r="N17">
        <v>20</v>
      </c>
      <c r="O17">
        <v>10</v>
      </c>
      <c r="P17">
        <v>20</v>
      </c>
      <c r="Q17">
        <v>10</v>
      </c>
      <c r="R17">
        <v>20</v>
      </c>
      <c r="U17">
        <v>10</v>
      </c>
      <c r="V17" t="s">
        <v>139</v>
      </c>
      <c r="W17" t="s">
        <v>140</v>
      </c>
      <c r="X17" t="s">
        <v>141</v>
      </c>
    </row>
    <row r="18" spans="1:24" x14ac:dyDescent="0.3">
      <c r="U18">
        <v>10.5</v>
      </c>
      <c r="V18" t="s">
        <v>142</v>
      </c>
      <c r="W18" t="s">
        <v>143</v>
      </c>
      <c r="X18" t="s">
        <v>110</v>
      </c>
    </row>
    <row r="19" spans="1:24" x14ac:dyDescent="0.3">
      <c r="U19">
        <v>11</v>
      </c>
      <c r="V19" t="s">
        <v>144</v>
      </c>
      <c r="W19" t="s">
        <v>145</v>
      </c>
      <c r="X19" t="s">
        <v>146</v>
      </c>
    </row>
    <row r="20" spans="1:24" x14ac:dyDescent="0.3">
      <c r="A20" s="6" t="s">
        <v>71</v>
      </c>
      <c r="D20" s="6" t="s">
        <v>73</v>
      </c>
      <c r="E20" s="6" t="s">
        <v>5</v>
      </c>
      <c r="F20" s="6" t="s">
        <v>74</v>
      </c>
      <c r="G20" s="6" t="s">
        <v>75</v>
      </c>
      <c r="H20" s="6" t="s">
        <v>76</v>
      </c>
      <c r="U20">
        <v>11.5</v>
      </c>
      <c r="V20" t="s">
        <v>147</v>
      </c>
      <c r="W20" t="s">
        <v>148</v>
      </c>
      <c r="X20" t="s">
        <v>149</v>
      </c>
    </row>
    <row r="21" spans="1:24" x14ac:dyDescent="0.3">
      <c r="A21" t="s">
        <v>38</v>
      </c>
      <c r="D21" t="s">
        <v>88</v>
      </c>
      <c r="E21" t="s">
        <v>77</v>
      </c>
      <c r="F21">
        <v>4.5</v>
      </c>
      <c r="G21">
        <v>6.5</v>
      </c>
      <c r="H21">
        <v>0</v>
      </c>
      <c r="U21">
        <v>12</v>
      </c>
      <c r="V21" t="s">
        <v>150</v>
      </c>
      <c r="W21" t="s">
        <v>151</v>
      </c>
      <c r="X21" t="s">
        <v>152</v>
      </c>
    </row>
    <row r="22" spans="1:24" x14ac:dyDescent="0.3">
      <c r="A22" t="s">
        <v>43</v>
      </c>
      <c r="D22" t="s">
        <v>78</v>
      </c>
      <c r="E22" t="s">
        <v>79</v>
      </c>
      <c r="F22">
        <v>6</v>
      </c>
      <c r="G22">
        <v>0</v>
      </c>
      <c r="H22">
        <v>4</v>
      </c>
      <c r="U22">
        <v>12.5</v>
      </c>
      <c r="V22" t="s">
        <v>153</v>
      </c>
      <c r="W22" t="s">
        <v>154</v>
      </c>
      <c r="X22" t="s">
        <v>155</v>
      </c>
    </row>
    <row r="23" spans="1:24" x14ac:dyDescent="0.3">
      <c r="A23" t="s">
        <v>3</v>
      </c>
      <c r="U23">
        <v>13</v>
      </c>
      <c r="V23" t="s">
        <v>156</v>
      </c>
      <c r="W23" t="s">
        <v>157</v>
      </c>
      <c r="X23" t="s">
        <v>158</v>
      </c>
    </row>
    <row r="24" spans="1:24" x14ac:dyDescent="0.3">
      <c r="A24" t="s">
        <v>4</v>
      </c>
      <c r="U24">
        <v>13.5</v>
      </c>
      <c r="V24" t="s">
        <v>159</v>
      </c>
      <c r="W24" t="s">
        <v>160</v>
      </c>
      <c r="X24" t="s">
        <v>161</v>
      </c>
    </row>
    <row r="25" spans="1:24" x14ac:dyDescent="0.3">
      <c r="A25" t="s">
        <v>72</v>
      </c>
      <c r="U25">
        <v>14</v>
      </c>
      <c r="V25" t="s">
        <v>162</v>
      </c>
      <c r="W25" t="s">
        <v>163</v>
      </c>
      <c r="X25" t="s">
        <v>164</v>
      </c>
    </row>
    <row r="26" spans="1:24" x14ac:dyDescent="0.3">
      <c r="U26">
        <v>14.5</v>
      </c>
      <c r="V26" t="s">
        <v>165</v>
      </c>
      <c r="W26" t="s">
        <v>166</v>
      </c>
      <c r="X26" t="s">
        <v>167</v>
      </c>
    </row>
    <row r="27" spans="1:24" x14ac:dyDescent="0.3">
      <c r="U27">
        <v>15</v>
      </c>
      <c r="V27" t="s">
        <v>168</v>
      </c>
      <c r="W27" t="s">
        <v>169</v>
      </c>
      <c r="X27" t="s">
        <v>170</v>
      </c>
    </row>
    <row r="28" spans="1:24" x14ac:dyDescent="0.3">
      <c r="U28">
        <v>15.5</v>
      </c>
      <c r="V28" t="s">
        <v>171</v>
      </c>
      <c r="W28" t="s">
        <v>172</v>
      </c>
      <c r="X28" t="s">
        <v>173</v>
      </c>
    </row>
    <row r="29" spans="1:24" x14ac:dyDescent="0.3">
      <c r="U29">
        <v>16</v>
      </c>
      <c r="V29" t="s">
        <v>174</v>
      </c>
      <c r="W29" t="s">
        <v>175</v>
      </c>
      <c r="X29" t="s">
        <v>176</v>
      </c>
    </row>
    <row r="30" spans="1:24" x14ac:dyDescent="0.3">
      <c r="U30">
        <v>16.5</v>
      </c>
      <c r="V30" t="s">
        <v>177</v>
      </c>
      <c r="W30" t="s">
        <v>178</v>
      </c>
      <c r="X30" t="s">
        <v>179</v>
      </c>
    </row>
    <row r="31" spans="1:24" x14ac:dyDescent="0.3">
      <c r="U31">
        <v>17</v>
      </c>
      <c r="V31" t="s">
        <v>180</v>
      </c>
      <c r="W31" t="s">
        <v>181</v>
      </c>
      <c r="X31" t="s">
        <v>182</v>
      </c>
    </row>
    <row r="32" spans="1:24" x14ac:dyDescent="0.3">
      <c r="U32">
        <v>17.5</v>
      </c>
      <c r="V32" t="s">
        <v>183</v>
      </c>
      <c r="W32" t="s">
        <v>184</v>
      </c>
      <c r="X32" t="s">
        <v>185</v>
      </c>
    </row>
    <row r="33" spans="21:24" x14ac:dyDescent="0.3">
      <c r="U33">
        <v>18</v>
      </c>
      <c r="V33" t="s">
        <v>186</v>
      </c>
      <c r="W33" t="s">
        <v>187</v>
      </c>
      <c r="X33" t="s">
        <v>188</v>
      </c>
    </row>
    <row r="34" spans="21:24" x14ac:dyDescent="0.3">
      <c r="U34">
        <v>18.5</v>
      </c>
      <c r="V34" t="s">
        <v>189</v>
      </c>
      <c r="W34" t="s">
        <v>190</v>
      </c>
      <c r="X34" t="s">
        <v>191</v>
      </c>
    </row>
    <row r="35" spans="21:24" x14ac:dyDescent="0.3">
      <c r="U35">
        <v>19</v>
      </c>
      <c r="V35" t="s">
        <v>192</v>
      </c>
      <c r="W35" t="s">
        <v>193</v>
      </c>
      <c r="X35" t="s">
        <v>194</v>
      </c>
    </row>
    <row r="36" spans="21:24" x14ac:dyDescent="0.3">
      <c r="U36">
        <v>19.5</v>
      </c>
      <c r="V36" t="s">
        <v>195</v>
      </c>
      <c r="W36" t="s">
        <v>196</v>
      </c>
      <c r="X36" t="s">
        <v>197</v>
      </c>
    </row>
    <row r="37" spans="21:24" x14ac:dyDescent="0.3">
      <c r="U37">
        <v>20</v>
      </c>
      <c r="V37" t="s">
        <v>198</v>
      </c>
      <c r="W37" t="s">
        <v>199</v>
      </c>
      <c r="X37" t="s">
        <v>200</v>
      </c>
    </row>
    <row r="38" spans="21:24" x14ac:dyDescent="0.3">
      <c r="U38">
        <v>20.5</v>
      </c>
      <c r="V38" t="s">
        <v>201</v>
      </c>
      <c r="W38" t="s">
        <v>202</v>
      </c>
      <c r="X38" t="s">
        <v>203</v>
      </c>
    </row>
    <row r="39" spans="21:24" x14ac:dyDescent="0.3">
      <c r="U39">
        <v>21</v>
      </c>
      <c r="V39" t="s">
        <v>204</v>
      </c>
      <c r="W39" t="s">
        <v>205</v>
      </c>
      <c r="X39" t="s">
        <v>206</v>
      </c>
    </row>
    <row r="40" spans="21:24" x14ac:dyDescent="0.3">
      <c r="U40">
        <v>21.5</v>
      </c>
      <c r="V40" t="s">
        <v>207</v>
      </c>
      <c r="W40" t="s">
        <v>208</v>
      </c>
      <c r="X40" t="s">
        <v>209</v>
      </c>
    </row>
    <row r="41" spans="21:24" x14ac:dyDescent="0.3">
      <c r="U41">
        <v>22</v>
      </c>
      <c r="V41" t="s">
        <v>210</v>
      </c>
      <c r="W41" t="s">
        <v>211</v>
      </c>
      <c r="X41" t="s">
        <v>212</v>
      </c>
    </row>
    <row r="42" spans="21:24" x14ac:dyDescent="0.3">
      <c r="U42">
        <v>22.5</v>
      </c>
      <c r="V42" t="s">
        <v>213</v>
      </c>
      <c r="W42" t="s">
        <v>214</v>
      </c>
      <c r="X42" t="s">
        <v>215</v>
      </c>
    </row>
    <row r="43" spans="21:24" x14ac:dyDescent="0.3">
      <c r="U43">
        <v>23</v>
      </c>
      <c r="V43" t="s">
        <v>216</v>
      </c>
      <c r="W43" t="s">
        <v>217</v>
      </c>
      <c r="X43" t="s">
        <v>218</v>
      </c>
    </row>
    <row r="44" spans="21:24" x14ac:dyDescent="0.3">
      <c r="U44">
        <v>23.5</v>
      </c>
      <c r="V44" t="s">
        <v>219</v>
      </c>
      <c r="W44" t="s">
        <v>220</v>
      </c>
      <c r="X44" t="s">
        <v>221</v>
      </c>
    </row>
    <row r="45" spans="21:24" x14ac:dyDescent="0.3">
      <c r="U45">
        <v>24</v>
      </c>
      <c r="V45" t="s">
        <v>222</v>
      </c>
      <c r="W45" t="s">
        <v>223</v>
      </c>
      <c r="X45" t="s">
        <v>224</v>
      </c>
    </row>
    <row r="46" spans="21:24" x14ac:dyDescent="0.3">
      <c r="U46">
        <v>24.5</v>
      </c>
      <c r="V46" t="s">
        <v>225</v>
      </c>
      <c r="W46" t="s">
        <v>226</v>
      </c>
      <c r="X46" t="s">
        <v>227</v>
      </c>
    </row>
    <row r="47" spans="21:24" x14ac:dyDescent="0.3">
      <c r="U47">
        <v>25</v>
      </c>
      <c r="V47" t="s">
        <v>228</v>
      </c>
      <c r="W47" t="s">
        <v>229</v>
      </c>
      <c r="X47" t="s">
        <v>230</v>
      </c>
    </row>
    <row r="48" spans="21:24" x14ac:dyDescent="0.3">
      <c r="U48">
        <v>25.5</v>
      </c>
      <c r="V48" t="s">
        <v>231</v>
      </c>
      <c r="W48" t="s">
        <v>232</v>
      </c>
      <c r="X48" t="s">
        <v>233</v>
      </c>
    </row>
    <row r="49" spans="21:24" x14ac:dyDescent="0.3">
      <c r="U49">
        <v>26</v>
      </c>
      <c r="V49" t="s">
        <v>234</v>
      </c>
      <c r="W49" t="s">
        <v>235</v>
      </c>
      <c r="X49" t="s">
        <v>236</v>
      </c>
    </row>
    <row r="50" spans="21:24" x14ac:dyDescent="0.3">
      <c r="U50">
        <v>26.5</v>
      </c>
      <c r="V50" t="s">
        <v>237</v>
      </c>
      <c r="W50" t="s">
        <v>238</v>
      </c>
      <c r="X50" t="s">
        <v>239</v>
      </c>
    </row>
    <row r="51" spans="21:24" x14ac:dyDescent="0.3">
      <c r="U51">
        <v>27</v>
      </c>
      <c r="V51" t="s">
        <v>240</v>
      </c>
      <c r="W51" t="s">
        <v>241</v>
      </c>
      <c r="X51" t="s">
        <v>242</v>
      </c>
    </row>
    <row r="52" spans="21:24" x14ac:dyDescent="0.3">
      <c r="U52">
        <v>27.5</v>
      </c>
      <c r="V52" t="s">
        <v>243</v>
      </c>
      <c r="W52" t="s">
        <v>244</v>
      </c>
      <c r="X52" t="s">
        <v>245</v>
      </c>
    </row>
    <row r="53" spans="21:24" x14ac:dyDescent="0.3">
      <c r="U53">
        <v>28</v>
      </c>
      <c r="V53" t="s">
        <v>246</v>
      </c>
      <c r="W53" t="s">
        <v>247</v>
      </c>
      <c r="X53" t="s">
        <v>248</v>
      </c>
    </row>
    <row r="54" spans="21:24" x14ac:dyDescent="0.3">
      <c r="U54">
        <v>28.5</v>
      </c>
      <c r="V54" t="s">
        <v>249</v>
      </c>
      <c r="W54" t="s">
        <v>250</v>
      </c>
      <c r="X54" t="s">
        <v>251</v>
      </c>
    </row>
    <row r="55" spans="21:24" x14ac:dyDescent="0.3">
      <c r="U55">
        <v>29</v>
      </c>
      <c r="V55" t="s">
        <v>252</v>
      </c>
      <c r="W55" t="s">
        <v>253</v>
      </c>
      <c r="X55" t="s">
        <v>254</v>
      </c>
    </row>
    <row r="56" spans="21:24" x14ac:dyDescent="0.3">
      <c r="U56">
        <v>29.5</v>
      </c>
      <c r="V56" t="s">
        <v>255</v>
      </c>
      <c r="W56" t="s">
        <v>256</v>
      </c>
      <c r="X56" t="s">
        <v>257</v>
      </c>
    </row>
    <row r="57" spans="21:24" x14ac:dyDescent="0.3">
      <c r="U57">
        <v>30</v>
      </c>
      <c r="V57" t="s">
        <v>258</v>
      </c>
      <c r="W57" t="s">
        <v>259</v>
      </c>
      <c r="X57" t="s">
        <v>260</v>
      </c>
    </row>
    <row r="58" spans="21:24" x14ac:dyDescent="0.3">
      <c r="U58">
        <v>30.5</v>
      </c>
      <c r="V58" t="s">
        <v>261</v>
      </c>
      <c r="W58" t="s">
        <v>262</v>
      </c>
      <c r="X58" t="s">
        <v>263</v>
      </c>
    </row>
    <row r="59" spans="21:24" x14ac:dyDescent="0.3">
      <c r="U59">
        <v>31</v>
      </c>
      <c r="V59" t="s">
        <v>264</v>
      </c>
      <c r="W59" t="s">
        <v>265</v>
      </c>
      <c r="X59" t="s">
        <v>266</v>
      </c>
    </row>
    <row r="60" spans="21:24" x14ac:dyDescent="0.3">
      <c r="U60">
        <v>31.5</v>
      </c>
      <c r="V60" t="s">
        <v>267</v>
      </c>
      <c r="W60" t="s">
        <v>268</v>
      </c>
      <c r="X60" t="s">
        <v>269</v>
      </c>
    </row>
    <row r="61" spans="21:24" x14ac:dyDescent="0.3">
      <c r="U61">
        <v>32</v>
      </c>
      <c r="V61" t="s">
        <v>270</v>
      </c>
      <c r="W61" t="s">
        <v>271</v>
      </c>
      <c r="X61" t="s">
        <v>272</v>
      </c>
    </row>
    <row r="62" spans="21:24" x14ac:dyDescent="0.3">
      <c r="U62">
        <v>32.5</v>
      </c>
      <c r="V62" t="s">
        <v>273</v>
      </c>
      <c r="W62" t="s">
        <v>274</v>
      </c>
      <c r="X62" t="s">
        <v>275</v>
      </c>
    </row>
    <row r="63" spans="21:24" x14ac:dyDescent="0.3">
      <c r="U63">
        <v>33</v>
      </c>
      <c r="V63" t="s">
        <v>276</v>
      </c>
      <c r="W63" t="s">
        <v>277</v>
      </c>
      <c r="X63" t="s">
        <v>278</v>
      </c>
    </row>
    <row r="64" spans="21:24" x14ac:dyDescent="0.3">
      <c r="U64">
        <v>33.5</v>
      </c>
      <c r="V64" t="s">
        <v>279</v>
      </c>
      <c r="W64" t="s">
        <v>280</v>
      </c>
      <c r="X64" t="s">
        <v>281</v>
      </c>
    </row>
    <row r="65" spans="21:24" x14ac:dyDescent="0.3">
      <c r="U65">
        <v>34</v>
      </c>
      <c r="V65" t="s">
        <v>282</v>
      </c>
      <c r="W65" t="s">
        <v>283</v>
      </c>
      <c r="X65" t="s">
        <v>284</v>
      </c>
    </row>
    <row r="66" spans="21:24" x14ac:dyDescent="0.3">
      <c r="U66">
        <v>34.5</v>
      </c>
      <c r="V66" t="s">
        <v>285</v>
      </c>
      <c r="W66" t="s">
        <v>286</v>
      </c>
      <c r="X66" t="s">
        <v>287</v>
      </c>
    </row>
    <row r="67" spans="21:24" x14ac:dyDescent="0.3">
      <c r="U67">
        <v>35</v>
      </c>
      <c r="V67" t="s">
        <v>288</v>
      </c>
      <c r="W67" t="s">
        <v>289</v>
      </c>
      <c r="X67" t="s">
        <v>290</v>
      </c>
    </row>
    <row r="68" spans="21:24" x14ac:dyDescent="0.3">
      <c r="U68">
        <v>35.5</v>
      </c>
      <c r="V68" t="s">
        <v>291</v>
      </c>
      <c r="W68" t="s">
        <v>292</v>
      </c>
      <c r="X68" t="s">
        <v>293</v>
      </c>
    </row>
    <row r="69" spans="21:24" x14ac:dyDescent="0.3">
      <c r="U69">
        <v>36</v>
      </c>
      <c r="V69" t="s">
        <v>294</v>
      </c>
      <c r="W69" t="s">
        <v>295</v>
      </c>
      <c r="X69" t="s">
        <v>296</v>
      </c>
    </row>
    <row r="70" spans="21:24" x14ac:dyDescent="0.3">
      <c r="U70">
        <v>36.5</v>
      </c>
      <c r="V70" t="s">
        <v>297</v>
      </c>
      <c r="W70" t="s">
        <v>298</v>
      </c>
      <c r="X70" t="s">
        <v>299</v>
      </c>
    </row>
    <row r="71" spans="21:24" x14ac:dyDescent="0.3">
      <c r="U71">
        <v>37</v>
      </c>
      <c r="V71" t="s">
        <v>300</v>
      </c>
      <c r="W71" t="s">
        <v>301</v>
      </c>
      <c r="X71" t="s">
        <v>302</v>
      </c>
    </row>
    <row r="72" spans="21:24" x14ac:dyDescent="0.3">
      <c r="U72">
        <v>37.5</v>
      </c>
      <c r="V72" t="s">
        <v>303</v>
      </c>
      <c r="W72" t="s">
        <v>304</v>
      </c>
      <c r="X72" t="s">
        <v>305</v>
      </c>
    </row>
    <row r="73" spans="21:24" x14ac:dyDescent="0.3">
      <c r="U73">
        <v>38</v>
      </c>
      <c r="V73" t="s">
        <v>306</v>
      </c>
      <c r="W73" t="s">
        <v>307</v>
      </c>
      <c r="X73" t="s">
        <v>308</v>
      </c>
    </row>
    <row r="74" spans="21:24" x14ac:dyDescent="0.3">
      <c r="U74">
        <v>38.5</v>
      </c>
      <c r="V74" t="s">
        <v>309</v>
      </c>
      <c r="W74" t="s">
        <v>310</v>
      </c>
      <c r="X74" t="s">
        <v>311</v>
      </c>
    </row>
    <row r="75" spans="21:24" x14ac:dyDescent="0.3">
      <c r="U75">
        <v>39</v>
      </c>
      <c r="V75" t="s">
        <v>312</v>
      </c>
      <c r="W75" t="s">
        <v>313</v>
      </c>
      <c r="X75" t="s">
        <v>314</v>
      </c>
    </row>
    <row r="76" spans="21:24" x14ac:dyDescent="0.3">
      <c r="U76">
        <v>39.5</v>
      </c>
      <c r="V76" t="s">
        <v>315</v>
      </c>
      <c r="W76" t="s">
        <v>316</v>
      </c>
      <c r="X76" t="s">
        <v>317</v>
      </c>
    </row>
    <row r="77" spans="21:24" x14ac:dyDescent="0.3">
      <c r="U77">
        <v>40</v>
      </c>
      <c r="V77" t="s">
        <v>318</v>
      </c>
      <c r="W77" t="s">
        <v>319</v>
      </c>
      <c r="X77" t="s">
        <v>320</v>
      </c>
    </row>
    <row r="78" spans="21:24" x14ac:dyDescent="0.3">
      <c r="U78">
        <v>40.5</v>
      </c>
      <c r="V78" t="s">
        <v>321</v>
      </c>
      <c r="W78" t="s">
        <v>322</v>
      </c>
      <c r="X78" t="s">
        <v>323</v>
      </c>
    </row>
    <row r="79" spans="21:24" x14ac:dyDescent="0.3">
      <c r="U79">
        <v>41</v>
      </c>
      <c r="V79" t="s">
        <v>324</v>
      </c>
      <c r="W79" t="s">
        <v>325</v>
      </c>
      <c r="X79" t="s">
        <v>326</v>
      </c>
    </row>
    <row r="80" spans="21:24" x14ac:dyDescent="0.3">
      <c r="U80">
        <v>41.5</v>
      </c>
      <c r="V80" t="s">
        <v>327</v>
      </c>
      <c r="W80" t="s">
        <v>328</v>
      </c>
      <c r="X80" t="s">
        <v>329</v>
      </c>
    </row>
    <row r="81" spans="21:24" x14ac:dyDescent="0.3">
      <c r="U81">
        <v>42</v>
      </c>
      <c r="V81" t="s">
        <v>330</v>
      </c>
      <c r="W81" t="s">
        <v>331</v>
      </c>
      <c r="X81" t="s">
        <v>332</v>
      </c>
    </row>
    <row r="82" spans="21:24" x14ac:dyDescent="0.3">
      <c r="U82">
        <v>42.5</v>
      </c>
      <c r="V82" t="s">
        <v>333</v>
      </c>
      <c r="W82" t="s">
        <v>334</v>
      </c>
      <c r="X82" t="s">
        <v>335</v>
      </c>
    </row>
    <row r="83" spans="21:24" x14ac:dyDescent="0.3">
      <c r="U83">
        <v>43</v>
      </c>
      <c r="V83" t="s">
        <v>336</v>
      </c>
      <c r="W83" t="s">
        <v>337</v>
      </c>
      <c r="X83" t="s">
        <v>338</v>
      </c>
    </row>
    <row r="84" spans="21:24" x14ac:dyDescent="0.3">
      <c r="U84">
        <v>43.5</v>
      </c>
      <c r="V84" t="s">
        <v>339</v>
      </c>
      <c r="W84" t="s">
        <v>340</v>
      </c>
      <c r="X84" t="s">
        <v>341</v>
      </c>
    </row>
    <row r="85" spans="21:24" x14ac:dyDescent="0.3">
      <c r="U85">
        <v>44</v>
      </c>
      <c r="V85" t="s">
        <v>342</v>
      </c>
      <c r="W85" t="s">
        <v>343</v>
      </c>
      <c r="X85" t="s">
        <v>344</v>
      </c>
    </row>
    <row r="86" spans="21:24" x14ac:dyDescent="0.3">
      <c r="U86">
        <v>44.5</v>
      </c>
      <c r="V86" t="s">
        <v>345</v>
      </c>
      <c r="W86" t="s">
        <v>346</v>
      </c>
      <c r="X86" t="s">
        <v>347</v>
      </c>
    </row>
    <row r="87" spans="21:24" x14ac:dyDescent="0.3">
      <c r="U87">
        <v>45</v>
      </c>
      <c r="V87" t="s">
        <v>348</v>
      </c>
      <c r="W87" t="s">
        <v>349</v>
      </c>
      <c r="X87" t="s">
        <v>350</v>
      </c>
    </row>
    <row r="88" spans="21:24" x14ac:dyDescent="0.3">
      <c r="U88">
        <v>45.5</v>
      </c>
      <c r="V88" t="s">
        <v>351</v>
      </c>
      <c r="W88" t="s">
        <v>352</v>
      </c>
      <c r="X88" t="s">
        <v>353</v>
      </c>
    </row>
    <row r="89" spans="21:24" x14ac:dyDescent="0.3">
      <c r="U89">
        <v>46</v>
      </c>
      <c r="V89" t="s">
        <v>354</v>
      </c>
      <c r="W89" t="s">
        <v>355</v>
      </c>
      <c r="X89" t="s">
        <v>356</v>
      </c>
    </row>
    <row r="90" spans="21:24" x14ac:dyDescent="0.3">
      <c r="U90">
        <v>46.5</v>
      </c>
      <c r="V90" t="s">
        <v>357</v>
      </c>
      <c r="W90" t="s">
        <v>358</v>
      </c>
      <c r="X90" t="s">
        <v>359</v>
      </c>
    </row>
    <row r="91" spans="21:24" x14ac:dyDescent="0.3">
      <c r="U91">
        <v>47</v>
      </c>
      <c r="V91" t="s">
        <v>360</v>
      </c>
      <c r="W91" t="s">
        <v>361</v>
      </c>
      <c r="X91" t="s">
        <v>362</v>
      </c>
    </row>
    <row r="92" spans="21:24" x14ac:dyDescent="0.3">
      <c r="U92">
        <v>47.5</v>
      </c>
      <c r="V92" t="s">
        <v>363</v>
      </c>
      <c r="W92" t="s">
        <v>364</v>
      </c>
      <c r="X92" t="s">
        <v>365</v>
      </c>
    </row>
    <row r="93" spans="21:24" x14ac:dyDescent="0.3">
      <c r="U93">
        <v>48</v>
      </c>
      <c r="V93" t="s">
        <v>366</v>
      </c>
      <c r="W93" t="s">
        <v>367</v>
      </c>
      <c r="X93" t="s">
        <v>368</v>
      </c>
    </row>
    <row r="94" spans="21:24" x14ac:dyDescent="0.3">
      <c r="U94">
        <v>48.5</v>
      </c>
      <c r="V94" t="s">
        <v>369</v>
      </c>
      <c r="W94" t="s">
        <v>370</v>
      </c>
      <c r="X94" t="s">
        <v>371</v>
      </c>
    </row>
    <row r="95" spans="21:24" x14ac:dyDescent="0.3">
      <c r="U95">
        <v>49</v>
      </c>
      <c r="V95" t="s">
        <v>372</v>
      </c>
      <c r="W95" t="s">
        <v>373</v>
      </c>
      <c r="X95" t="s">
        <v>374</v>
      </c>
    </row>
    <row r="96" spans="21:24" x14ac:dyDescent="0.3">
      <c r="U96">
        <v>49.5</v>
      </c>
      <c r="V96" t="s">
        <v>375</v>
      </c>
      <c r="W96" t="s">
        <v>376</v>
      </c>
      <c r="X96" t="s">
        <v>377</v>
      </c>
    </row>
    <row r="97" spans="21:24" x14ac:dyDescent="0.3">
      <c r="U97">
        <v>50</v>
      </c>
      <c r="V97" t="s">
        <v>378</v>
      </c>
      <c r="W97" t="s">
        <v>379</v>
      </c>
      <c r="X97" t="s">
        <v>380</v>
      </c>
    </row>
    <row r="98" spans="21:24" x14ac:dyDescent="0.3">
      <c r="U98">
        <v>50.5</v>
      </c>
      <c r="V98" t="s">
        <v>381</v>
      </c>
      <c r="W98" t="s">
        <v>382</v>
      </c>
      <c r="X98" t="s">
        <v>383</v>
      </c>
    </row>
    <row r="99" spans="21:24" x14ac:dyDescent="0.3">
      <c r="U99">
        <v>51</v>
      </c>
      <c r="V99" t="s">
        <v>384</v>
      </c>
      <c r="W99" t="s">
        <v>385</v>
      </c>
      <c r="X99" t="s">
        <v>386</v>
      </c>
    </row>
    <row r="100" spans="21:24" x14ac:dyDescent="0.3">
      <c r="U100">
        <v>51.5</v>
      </c>
      <c r="V100" t="s">
        <v>387</v>
      </c>
      <c r="W100" t="s">
        <v>388</v>
      </c>
      <c r="X100" t="s">
        <v>389</v>
      </c>
    </row>
    <row r="101" spans="21:24" x14ac:dyDescent="0.3">
      <c r="U101">
        <v>52</v>
      </c>
      <c r="V101" t="s">
        <v>390</v>
      </c>
      <c r="W101" t="s">
        <v>391</v>
      </c>
      <c r="X101" t="s">
        <v>392</v>
      </c>
    </row>
    <row r="102" spans="21:24" x14ac:dyDescent="0.3">
      <c r="U102">
        <v>52.5</v>
      </c>
      <c r="V102" t="s">
        <v>393</v>
      </c>
      <c r="W102" t="s">
        <v>394</v>
      </c>
      <c r="X102" t="s">
        <v>395</v>
      </c>
    </row>
    <row r="103" spans="21:24" x14ac:dyDescent="0.3">
      <c r="U103">
        <v>53</v>
      </c>
      <c r="V103" t="s">
        <v>396</v>
      </c>
      <c r="W103" t="s">
        <v>397</v>
      </c>
      <c r="X103" t="s">
        <v>398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RevNotes</vt:lpstr>
      <vt:lpstr>MechNotes</vt:lpstr>
      <vt:lpstr>Stats</vt:lpstr>
      <vt:lpstr>Weapons</vt:lpstr>
      <vt:lpstr>Spells</vt:lpstr>
      <vt:lpstr>Skills</vt:lpstr>
      <vt:lpstr>Ledger</vt:lpstr>
      <vt:lpstr>Notes</vt:lpstr>
      <vt:lpstr>Tables</vt:lpstr>
      <vt:lpstr>Tables!die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2012-09-14T22:43:10Z</dcterms:modified>
</cp:coreProperties>
</file>