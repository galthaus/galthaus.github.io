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Greg\Desktop\"/>
    </mc:Choice>
  </mc:AlternateContent>
  <bookViews>
    <workbookView xWindow="8865" yWindow="0" windowWidth="28800" windowHeight="12435" tabRatio="633"/>
  </bookViews>
  <sheets>
    <sheet name="Character" sheetId="1" r:id="rId1"/>
    <sheet name="Skills" sheetId="4" r:id="rId2"/>
    <sheet name="Spells" sheetId="7" r:id="rId3"/>
    <sheet name="Feats" sheetId="3" r:id="rId4"/>
    <sheet name="Equipment" sheetId="2" r:id="rId5"/>
    <sheet name="Active Spells" sheetId="5" r:id="rId6"/>
    <sheet name="Bonus" sheetId="9" r:id="rId7"/>
    <sheet name="Races" sheetId="10" r:id="rId8"/>
    <sheet name="Classes" sheetId="11" r:id="rId9"/>
    <sheet name="Charts" sheetId="12" r:id="rId10"/>
  </sheets>
  <functionGroups builtInGroupCount="18"/>
  <definedNames>
    <definedName name="weapons.htm_tableWeapons" localSheetId="9">Charts!$A$26:$K$98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42" i="2" l="1"/>
  <c r="F45" i="2"/>
  <c r="E46" i="2"/>
  <c r="A36" i="2"/>
  <c r="A37" i="2"/>
  <c r="C67" i="5"/>
  <c r="C69" i="5"/>
  <c r="A39" i="2"/>
  <c r="A40" i="2"/>
  <c r="C36" i="5"/>
  <c r="C66" i="5"/>
  <c r="C65" i="5"/>
  <c r="C64" i="5"/>
  <c r="C63" i="5"/>
  <c r="Q27" i="1" a="1"/>
  <c r="Q27" i="1"/>
  <c r="B28" i="1"/>
  <c r="P21" i="12" a="1"/>
  <c r="P21" i="12"/>
  <c r="N24" i="1"/>
  <c r="N23" i="1"/>
  <c r="N25" i="1"/>
  <c r="N26" i="1"/>
  <c r="N21" i="1"/>
  <c r="N22" i="1"/>
  <c r="N20" i="1"/>
  <c r="P22" i="12" a="1"/>
  <c r="P22" i="12"/>
  <c r="C62" i="5"/>
  <c r="C61" i="5"/>
  <c r="C60" i="5"/>
  <c r="C59" i="5"/>
  <c r="C58" i="5"/>
  <c r="C56" i="5"/>
  <c r="C55" i="5"/>
  <c r="C53" i="5"/>
  <c r="C52" i="5"/>
  <c r="C54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5" i="5"/>
  <c r="C34" i="5"/>
  <c r="C33" i="5"/>
  <c r="C32" i="5"/>
  <c r="C31" i="5"/>
  <c r="C30" i="5"/>
  <c r="C29" i="5"/>
  <c r="C28" i="5"/>
  <c r="C27" i="5"/>
  <c r="C26" i="5"/>
  <c r="C25" i="5"/>
  <c r="Q11" i="10"/>
  <c r="R11" i="10"/>
  <c r="S11" i="10"/>
  <c r="P6" i="9"/>
  <c r="P5" i="9"/>
  <c r="R6" i="12"/>
  <c r="R5" i="12"/>
  <c r="F41" i="2"/>
  <c r="F38" i="2"/>
  <c r="F31" i="2"/>
  <c r="F25" i="2"/>
  <c r="H4" i="9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Q10" i="10"/>
  <c r="R10" i="10"/>
  <c r="S10" i="10"/>
  <c r="S9" i="10"/>
  <c r="R9" i="10"/>
  <c r="Q9" i="10"/>
  <c r="P9" i="10"/>
  <c r="O9" i="10"/>
  <c r="N9" i="10"/>
  <c r="S8" i="10"/>
  <c r="R8" i="10"/>
  <c r="Q8" i="10"/>
  <c r="P8" i="10"/>
  <c r="O8" i="10"/>
  <c r="N8" i="10"/>
  <c r="S7" i="10"/>
  <c r="R7" i="10"/>
  <c r="Q7" i="10"/>
  <c r="P7" i="10"/>
  <c r="O7" i="10"/>
  <c r="N7" i="10"/>
  <c r="S6" i="10"/>
  <c r="R6" i="10"/>
  <c r="Q6" i="10"/>
  <c r="P6" i="10"/>
  <c r="O6" i="10"/>
  <c r="N6" i="10"/>
  <c r="S5" i="10"/>
  <c r="R5" i="10"/>
  <c r="Q5" i="10"/>
  <c r="P5" i="10"/>
  <c r="O5" i="10"/>
  <c r="N5" i="10"/>
  <c r="S4" i="10"/>
  <c r="R4" i="10"/>
  <c r="Q4" i="10"/>
  <c r="P4" i="10"/>
  <c r="O4" i="10"/>
  <c r="N4" i="10"/>
  <c r="S3" i="10"/>
  <c r="D16" i="1"/>
  <c r="R3" i="10"/>
  <c r="D15" i="1"/>
  <c r="Q3" i="10"/>
  <c r="D14" i="1"/>
  <c r="P3" i="10"/>
  <c r="D13" i="1"/>
  <c r="O3" i="10"/>
  <c r="D12" i="1"/>
  <c r="N3" i="10"/>
  <c r="D11" i="1"/>
  <c r="L4" i="9"/>
  <c r="D13" i="5"/>
  <c r="O9" i="9"/>
  <c r="O8" i="9"/>
  <c r="O7" i="9"/>
  <c r="N7" i="9"/>
  <c r="N8" i="9"/>
  <c r="N9" i="9"/>
  <c r="M9" i="9"/>
  <c r="M8" i="9"/>
  <c r="M7" i="9"/>
  <c r="N6" i="9"/>
  <c r="O6" i="9"/>
  <c r="O5" i="9"/>
  <c r="N5" i="9"/>
  <c r="M6" i="9"/>
  <c r="M5" i="9"/>
  <c r="J8" i="9"/>
  <c r="J9" i="9"/>
  <c r="I9" i="9"/>
  <c r="I8" i="9"/>
  <c r="I6" i="9"/>
  <c r="I5" i="9"/>
  <c r="J7" i="9"/>
  <c r="I7" i="9"/>
  <c r="I3" i="11"/>
  <c r="C4" i="5"/>
  <c r="C5" i="5"/>
  <c r="C6" i="5"/>
  <c r="C7" i="5"/>
  <c r="C8" i="5"/>
  <c r="C9" i="5"/>
  <c r="AA26" i="9" a="1"/>
  <c r="AA18" i="9" a="1"/>
  <c r="AA10" i="9" a="1"/>
  <c r="AA15" i="9" a="1"/>
  <c r="AA28" i="9" a="1"/>
  <c r="AA19" i="9" a="1"/>
  <c r="AA33" i="9" a="1"/>
  <c r="AA25" i="9" a="1"/>
  <c r="AA17" i="9" a="1"/>
  <c r="AA23" i="9" a="1"/>
  <c r="AA13" i="9" a="1"/>
  <c r="AA27" i="9" a="1"/>
  <c r="AA32" i="9" a="1"/>
  <c r="AA24" i="9" a="1"/>
  <c r="AA16" i="9" a="1"/>
  <c r="AA31" i="9" a="1"/>
  <c r="AA21" i="9" a="1"/>
  <c r="AA12" i="9" a="1"/>
  <c r="AA30" i="9" a="1"/>
  <c r="AA22" i="9" a="1"/>
  <c r="AA14" i="9" a="1"/>
  <c r="AA29" i="9" a="1"/>
  <c r="AA20" i="9" a="1"/>
  <c r="AA11" i="9" a="1"/>
  <c r="Z32" i="9" a="1"/>
  <c r="Z24" i="9" a="1"/>
  <c r="Z16" i="9" a="1"/>
  <c r="Z21" i="9" a="1"/>
  <c r="Z20" i="9" a="1"/>
  <c r="Z19" i="9" a="1"/>
  <c r="Z18" i="9" a="1"/>
  <c r="Z25" i="9" a="1"/>
  <c r="Z31" i="9" a="1"/>
  <c r="Z23" i="9" a="1"/>
  <c r="Z15" i="9" a="1"/>
  <c r="Z13" i="9" a="1"/>
  <c r="Z12" i="9" a="1"/>
  <c r="Z11" i="9" a="1"/>
  <c r="Z10" i="9" a="1"/>
  <c r="Z17" i="9" a="1"/>
  <c r="Z30" i="9" a="1"/>
  <c r="Z22" i="9" a="1"/>
  <c r="Z14" i="9" a="1"/>
  <c r="Z29" i="9" a="1"/>
  <c r="Z28" i="9" a="1"/>
  <c r="Z27" i="9" a="1"/>
  <c r="Z26" i="9" a="1"/>
  <c r="Z33" i="9" a="1"/>
  <c r="R25" i="9" a="1"/>
  <c r="J25" i="9" a="1"/>
  <c r="B25" i="9" a="1"/>
  <c r="G25" i="9" a="1"/>
  <c r="U25" i="9" a="1"/>
  <c r="T25" i="9" a="1"/>
  <c r="S25" i="9" a="1"/>
  <c r="Y25" i="9" a="1"/>
  <c r="Q25" i="9" a="1"/>
  <c r="I25" i="9" a="1"/>
  <c r="V25" i="9" a="1"/>
  <c r="M25" i="9" a="1"/>
  <c r="K25" i="9" a="1"/>
  <c r="X25" i="9" a="1"/>
  <c r="P25" i="9" a="1"/>
  <c r="H25" i="9" a="1"/>
  <c r="N25" i="9" a="1"/>
  <c r="L25" i="9" a="1"/>
  <c r="C25" i="9" a="1"/>
  <c r="W25" i="9" a="1"/>
  <c r="O25" i="9" a="1"/>
  <c r="F25" i="9" a="1"/>
  <c r="E25" i="9" a="1"/>
  <c r="D25" i="9" a="1"/>
  <c r="Y11" i="9" a="1"/>
  <c r="S11" i="9" a="1"/>
  <c r="L11" i="9" a="1"/>
  <c r="F11" i="9" a="1"/>
  <c r="J11" i="9" a="1"/>
  <c r="I11" i="9" a="1"/>
  <c r="O11" i="9" a="1"/>
  <c r="X11" i="9" a="1"/>
  <c r="R11" i="9" a="1"/>
  <c r="E11" i="9" a="1"/>
  <c r="W11" i="9" a="1"/>
  <c r="C11" i="9" a="1"/>
  <c r="B11" i="9" a="1"/>
  <c r="H11" i="9" a="1"/>
  <c r="Q11" i="9" a="1"/>
  <c r="K11" i="9" a="1"/>
  <c r="D11" i="9" a="1"/>
  <c r="P11" i="9" a="1"/>
  <c r="V11" i="9" a="1"/>
  <c r="U11" i="9" a="1"/>
  <c r="T11" i="9" a="1"/>
  <c r="N11" i="9" a="1"/>
  <c r="M11" i="9" a="1"/>
  <c r="G11" i="9" a="1"/>
  <c r="C18" i="1"/>
  <c r="P9" i="9"/>
  <c r="P8" i="9"/>
  <c r="P7" i="9"/>
  <c r="G4" i="9"/>
  <c r="F4" i="9"/>
  <c r="E4" i="9"/>
  <c r="D4" i="9"/>
  <c r="C4" i="9"/>
  <c r="B4" i="9"/>
  <c r="G11" i="9"/>
  <c r="K11" i="9"/>
  <c r="X11" i="9"/>
  <c r="X25" i="9"/>
  <c r="AA13" i="9"/>
  <c r="T25" i="9"/>
  <c r="B25" i="9"/>
  <c r="Z33" i="9"/>
  <c r="Z12" i="9"/>
  <c r="Z15" i="9"/>
  <c r="AA31" i="9"/>
  <c r="AA10" i="9"/>
  <c r="AA11" i="9"/>
  <c r="M11" i="9"/>
  <c r="Q11" i="9"/>
  <c r="O11" i="9"/>
  <c r="C25" i="9"/>
  <c r="S25" i="9"/>
  <c r="P25" i="9"/>
  <c r="Z16" i="9"/>
  <c r="Z18" i="9"/>
  <c r="Z19" i="9"/>
  <c r="AA12" i="9"/>
  <c r="AA14" i="9"/>
  <c r="AA16" i="9"/>
  <c r="N11" i="9"/>
  <c r="W25" i="9"/>
  <c r="Z29" i="9"/>
  <c r="AA19" i="9"/>
  <c r="B11" i="9"/>
  <c r="U25" i="9"/>
  <c r="Z25" i="9"/>
  <c r="Z27" i="9"/>
  <c r="Z30" i="9"/>
  <c r="AA23" i="9"/>
  <c r="AA17" i="9"/>
  <c r="AA21" i="9"/>
  <c r="U11" i="9"/>
  <c r="C11" i="9"/>
  <c r="F11" i="9"/>
  <c r="O25" i="9"/>
  <c r="F25" i="9"/>
  <c r="E25" i="9"/>
  <c r="Z22" i="9"/>
  <c r="Z21" i="9"/>
  <c r="Z13" i="9"/>
  <c r="AA33" i="9"/>
  <c r="AA15" i="9"/>
  <c r="AA27" i="9"/>
  <c r="I11" i="9"/>
  <c r="H25" i="9"/>
  <c r="Z17" i="9"/>
  <c r="AA24" i="9"/>
  <c r="M25" i="9"/>
  <c r="V11" i="9"/>
  <c r="L11" i="9"/>
  <c r="R25" i="9"/>
  <c r="Z26" i="9"/>
  <c r="Z24" i="9"/>
  <c r="AA30" i="9"/>
  <c r="P11" i="9"/>
  <c r="E11" i="9"/>
  <c r="S11" i="9"/>
  <c r="N25" i="9"/>
  <c r="Q25" i="9"/>
  <c r="I25" i="9"/>
  <c r="Z28" i="9"/>
  <c r="Z31" i="9"/>
  <c r="Z14" i="9"/>
  <c r="AA26" i="9"/>
  <c r="AA22" i="9"/>
  <c r="AA25" i="9"/>
  <c r="H11" i="9"/>
  <c r="K25" i="9"/>
  <c r="Z23" i="9"/>
  <c r="AA32" i="9"/>
  <c r="T11" i="9"/>
  <c r="J11" i="9"/>
  <c r="G25" i="9"/>
  <c r="W11" i="9"/>
  <c r="V25" i="9"/>
  <c r="J25" i="9"/>
  <c r="Z10" i="9"/>
  <c r="AA29" i="9"/>
  <c r="AA20" i="9"/>
  <c r="D11" i="9"/>
  <c r="R11" i="9"/>
  <c r="Y11" i="9"/>
  <c r="Y25" i="9"/>
  <c r="L25" i="9"/>
  <c r="D25" i="9"/>
  <c r="Z20" i="9"/>
  <c r="Z32" i="9"/>
  <c r="Z11" i="9"/>
  <c r="AA18" i="9"/>
  <c r="AA28" i="9"/>
  <c r="O16" i="9" a="1"/>
  <c r="E22" i="9" a="1"/>
  <c r="E22" i="9"/>
  <c r="H10" i="9" a="1"/>
  <c r="H10" i="9"/>
  <c r="O31" i="9" a="1"/>
  <c r="O31" i="9"/>
  <c r="O12" i="9" a="1"/>
  <c r="O12" i="9"/>
  <c r="C31" i="9" a="1"/>
  <c r="C31" i="9"/>
  <c r="O30" i="9" a="1"/>
  <c r="O30" i="9"/>
  <c r="P18" i="9" a="1"/>
  <c r="P18" i="9"/>
  <c r="M28" i="9" a="1"/>
  <c r="M28" i="9"/>
  <c r="N26" i="9" a="1"/>
  <c r="N26" i="9"/>
  <c r="B14" i="9" a="1"/>
  <c r="B14" i="9"/>
  <c r="L26" i="9" a="1"/>
  <c r="L26" i="9"/>
  <c r="K14" i="9" a="1"/>
  <c r="K14" i="9"/>
  <c r="F20" i="9" a="1"/>
  <c r="F20" i="9"/>
  <c r="Q17" i="9" a="1"/>
  <c r="Q17" i="9"/>
  <c r="K32" i="9" a="1"/>
  <c r="K32" i="9"/>
  <c r="N27" i="9" a="1"/>
  <c r="N27" i="9"/>
  <c r="C17" i="9" a="1"/>
  <c r="C17" i="9"/>
  <c r="Q30" i="9" a="1"/>
  <c r="Q30" i="9"/>
  <c r="G15" i="9" a="1"/>
  <c r="G15" i="9"/>
  <c r="G22" i="9" a="1"/>
  <c r="G22" i="9"/>
  <c r="P15" i="9" a="1"/>
  <c r="P15" i="9"/>
  <c r="O19" i="9" a="1"/>
  <c r="O19" i="9"/>
  <c r="B18" i="9" a="1"/>
  <c r="B18" i="9"/>
  <c r="O14" i="9" a="1"/>
  <c r="I17" i="9" a="1"/>
  <c r="I17" i="9"/>
  <c r="Q28" i="9" a="1"/>
  <c r="Q28" i="9"/>
  <c r="M23" i="9" a="1"/>
  <c r="M23" i="9"/>
  <c r="Q26" i="9" a="1"/>
  <c r="Q26" i="9"/>
  <c r="B20" i="9" a="1"/>
  <c r="B20" i="9"/>
  <c r="E16" i="9" a="1"/>
  <c r="E16" i="9"/>
  <c r="G27" i="9" a="1"/>
  <c r="G27" i="9"/>
  <c r="R15" i="9" a="1"/>
  <c r="R15" i="9"/>
  <c r="H31" i="9" a="1"/>
  <c r="H31" i="9"/>
  <c r="R27" i="9" a="1"/>
  <c r="R27" i="9"/>
  <c r="F24" i="9" a="1"/>
  <c r="F24" i="9"/>
  <c r="J18" i="9" a="1"/>
  <c r="J18" i="9"/>
  <c r="M22" i="9" a="1"/>
  <c r="M22" i="9"/>
  <c r="P23" i="9" a="1"/>
  <c r="P23" i="9"/>
  <c r="D31" i="9" a="1"/>
  <c r="D31" i="9"/>
  <c r="R10" i="9" a="1"/>
  <c r="R10" i="9"/>
  <c r="J22" i="9" a="1"/>
  <c r="J22" i="9"/>
  <c r="J12" i="9" a="1"/>
  <c r="J12" i="9"/>
  <c r="F16" i="9" a="1"/>
  <c r="F16" i="9"/>
  <c r="L32" i="9" a="1"/>
  <c r="L32" i="9"/>
  <c r="J33" i="9" a="1"/>
  <c r="J33" i="9"/>
  <c r="G23" i="9" a="1"/>
  <c r="G23" i="9"/>
  <c r="N21" i="9" a="1"/>
  <c r="N21" i="9"/>
  <c r="I19" i="9" a="1"/>
  <c r="I19" i="9"/>
  <c r="Q24" i="9" a="1"/>
  <c r="Q24" i="9"/>
  <c r="Q29" i="9" a="1"/>
  <c r="Q29" i="9"/>
  <c r="M32" i="9" a="1"/>
  <c r="M32" i="9"/>
  <c r="J24" i="9" a="1"/>
  <c r="J24" i="9"/>
  <c r="H17" i="9" a="1"/>
  <c r="H17" i="9"/>
  <c r="J31" i="9" a="1"/>
  <c r="J31" i="9"/>
  <c r="E19" i="9" a="1"/>
  <c r="E19" i="9"/>
  <c r="D16" i="9" a="1"/>
  <c r="D16" i="9"/>
  <c r="B24" i="9" a="1"/>
  <c r="B24" i="9"/>
  <c r="F15" i="9" a="1"/>
  <c r="F15" i="9"/>
  <c r="N16" i="9" a="1"/>
  <c r="N16" i="9"/>
  <c r="L30" i="9" a="1"/>
  <c r="L30" i="9"/>
  <c r="Q20" i="9" a="1"/>
  <c r="Q20" i="9"/>
  <c r="D20" i="9" a="1"/>
  <c r="D20" i="9"/>
  <c r="G28" i="9" a="1"/>
  <c r="G28" i="9"/>
  <c r="G24" i="9" a="1"/>
  <c r="G24" i="9"/>
  <c r="L16" i="9" a="1"/>
  <c r="L16" i="9"/>
  <c r="E21" i="9" a="1"/>
  <c r="E21" i="9"/>
  <c r="M14" i="9" a="1"/>
  <c r="M14" i="9"/>
  <c r="Q15" i="9" a="1"/>
  <c r="Q15" i="9"/>
  <c r="N19" i="9" a="1"/>
  <c r="N19" i="9"/>
  <c r="L20" i="9" a="1"/>
  <c r="L20" i="9"/>
  <c r="P17" i="9" a="1"/>
  <c r="P17" i="9"/>
  <c r="K33" i="9" a="1"/>
  <c r="K33" i="9"/>
  <c r="H32" i="9" a="1"/>
  <c r="H32" i="9"/>
  <c r="M19" i="9" a="1"/>
  <c r="M19" i="9"/>
  <c r="J30" i="9" a="1"/>
  <c r="J30" i="9"/>
  <c r="R14" i="9" a="1"/>
  <c r="R14" i="9"/>
  <c r="R26" i="9" a="1"/>
  <c r="R26" i="9"/>
  <c r="L28" i="9" a="1"/>
  <c r="L28" i="9"/>
  <c r="P27" i="9" a="1"/>
  <c r="P27" i="9"/>
  <c r="E15" i="9" a="1"/>
  <c r="K24" i="9" a="1"/>
  <c r="K24" i="9"/>
  <c r="G21" i="9" a="1"/>
  <c r="G21" i="9"/>
  <c r="D27" i="9" a="1"/>
  <c r="D27" i="9"/>
  <c r="P32" i="9" a="1"/>
  <c r="P32" i="9"/>
  <c r="I20" i="9" a="1"/>
  <c r="I20" i="9"/>
  <c r="D29" i="9" a="1"/>
  <c r="D29" i="9"/>
  <c r="O20" i="9" a="1"/>
  <c r="O20" i="9"/>
  <c r="C13" i="9" a="1"/>
  <c r="C13" i="9"/>
  <c r="C28" i="9" a="1"/>
  <c r="C28" i="9"/>
  <c r="Q22" i="9" a="1"/>
  <c r="Q22" i="9"/>
  <c r="N12" i="9" a="1"/>
  <c r="N12" i="9"/>
  <c r="B28" i="9" a="1"/>
  <c r="B28" i="9"/>
  <c r="Q19" i="9" a="1"/>
  <c r="Q19" i="9"/>
  <c r="J10" i="9" a="1"/>
  <c r="J10" i="9"/>
  <c r="R29" i="9" a="1"/>
  <c r="R29" i="9"/>
  <c r="L24" i="9" a="1"/>
  <c r="F21" i="9" a="1"/>
  <c r="F21" i="9"/>
  <c r="F13" i="9" a="1"/>
  <c r="F13" i="9"/>
  <c r="D22" i="9" a="1"/>
  <c r="D22" i="9"/>
  <c r="J14" i="9" a="1"/>
  <c r="J14" i="9"/>
  <c r="K28" i="9" a="1"/>
  <c r="K28" i="9"/>
  <c r="L12" i="9" a="1"/>
  <c r="L12" i="9"/>
  <c r="C20" i="9" a="1"/>
  <c r="C20" i="9"/>
  <c r="P19" i="9" a="1"/>
  <c r="P19" i="9"/>
  <c r="I12" i="9" a="1"/>
  <c r="I12" i="9"/>
  <c r="D24" i="9" a="1"/>
  <c r="D24" i="9"/>
  <c r="M29" i="9" a="1"/>
  <c r="M29" i="9"/>
  <c r="N18" i="9" a="1"/>
  <c r="N18" i="9"/>
  <c r="I28" i="9" a="1"/>
  <c r="I28" i="9"/>
  <c r="C24" i="9" a="1"/>
  <c r="C24" i="9"/>
  <c r="H20" i="9" a="1"/>
  <c r="H20" i="9"/>
  <c r="B17" i="9" a="1"/>
  <c r="B17" i="9"/>
  <c r="G12" i="9" a="1"/>
  <c r="G12" i="9"/>
  <c r="E31" i="9" a="1"/>
  <c r="E31" i="9"/>
  <c r="K22" i="9" a="1"/>
  <c r="K22" i="9"/>
  <c r="Q18" i="9" a="1"/>
  <c r="Q18" i="9"/>
  <c r="N15" i="9" a="1"/>
  <c r="N15" i="9"/>
  <c r="P31" i="9" a="1"/>
  <c r="P31" i="9"/>
  <c r="M27" i="9" a="1"/>
  <c r="P22" i="9" a="1"/>
  <c r="P22" i="9"/>
  <c r="K19" i="9" a="1"/>
  <c r="K19" i="9"/>
  <c r="Q14" i="9" a="1"/>
  <c r="Q14" i="9"/>
  <c r="D10" i="9" a="1"/>
  <c r="D10" i="9"/>
  <c r="F29" i="9" a="1"/>
  <c r="F29" i="9"/>
  <c r="E24" i="9" a="1"/>
  <c r="E24" i="9"/>
  <c r="E20" i="9" a="1"/>
  <c r="E20" i="9"/>
  <c r="H16" i="9" a="1"/>
  <c r="H16" i="9"/>
  <c r="P12" i="9" a="1"/>
  <c r="P12" i="9"/>
  <c r="L29" i="9" a="1"/>
  <c r="L29" i="9"/>
  <c r="D21" i="9" a="1"/>
  <c r="D21" i="9"/>
  <c r="M13" i="9" a="1"/>
  <c r="M13" i="9"/>
  <c r="R18" i="9" a="1"/>
  <c r="R18" i="9"/>
  <c r="O27" i="9" a="1"/>
  <c r="O27" i="9"/>
  <c r="C19" i="9" a="1"/>
  <c r="C19" i="9"/>
  <c r="O10" i="9" a="1"/>
  <c r="O10" i="9"/>
  <c r="R17" i="9" a="1"/>
  <c r="R17" i="9"/>
  <c r="K27" i="9" a="1"/>
  <c r="K27" i="9"/>
  <c r="O18" i="9" a="1"/>
  <c r="O18" i="9"/>
  <c r="I10" i="9" a="1"/>
  <c r="I10" i="9"/>
  <c r="J23" i="9" a="1"/>
  <c r="J23" i="9"/>
  <c r="H23" i="9" a="1"/>
  <c r="H23" i="9"/>
  <c r="M15" i="9" a="1"/>
  <c r="M15" i="9"/>
  <c r="P28" i="9" a="1"/>
  <c r="P28" i="9"/>
  <c r="R32" i="9" a="1"/>
  <c r="R32" i="9"/>
  <c r="J16" i="9" a="1"/>
  <c r="J16" i="9"/>
  <c r="Q32" i="9" a="1"/>
  <c r="Q32" i="9"/>
  <c r="P13" i="9" a="1"/>
  <c r="P13" i="9"/>
  <c r="I33" i="9" a="1"/>
  <c r="I33" i="9"/>
  <c r="G18" i="9" a="1"/>
  <c r="G18" i="9"/>
  <c r="I23" i="9" a="1"/>
  <c r="I23" i="9"/>
  <c r="C33" i="9" a="1"/>
  <c r="C33" i="9"/>
  <c r="R33" i="9" a="1"/>
  <c r="R33" i="9"/>
  <c r="O15" i="9" a="1"/>
  <c r="O15" i="9"/>
  <c r="E26" i="9" a="1"/>
  <c r="E26" i="9"/>
  <c r="I30" i="9" a="1"/>
  <c r="I30" i="9"/>
  <c r="D14" i="9" a="1"/>
  <c r="D14" i="9"/>
  <c r="C23" i="9" a="1"/>
  <c r="C23" i="9"/>
  <c r="D19" i="9" a="1"/>
  <c r="D19" i="9"/>
  <c r="D17" i="9" a="1"/>
  <c r="D17" i="9"/>
  <c r="P16" i="9" a="1"/>
  <c r="P16" i="9"/>
  <c r="Q13" i="9" a="1"/>
  <c r="Q13" i="9"/>
  <c r="E32" i="9" a="1"/>
  <c r="E32" i="9"/>
  <c r="J32" i="9" a="1"/>
  <c r="J32" i="9"/>
  <c r="P30" i="9" a="1"/>
  <c r="P30" i="9"/>
  <c r="L22" i="9" a="1"/>
  <c r="L22" i="9"/>
  <c r="F10" i="9" a="1"/>
  <c r="F10" i="9"/>
  <c r="O24" i="9" a="1"/>
  <c r="O24" i="9"/>
  <c r="L14" i="9" a="1"/>
  <c r="L14" i="9"/>
  <c r="K26" i="9" a="1"/>
  <c r="K26" i="9"/>
  <c r="H21" i="9" a="1"/>
  <c r="H21" i="9"/>
  <c r="G31" i="9" a="1"/>
  <c r="G31" i="9"/>
  <c r="Q27" i="9" a="1"/>
  <c r="Q27" i="9"/>
  <c r="N10" i="9" a="1"/>
  <c r="N10" i="9"/>
  <c r="F18" i="9" a="1"/>
  <c r="F18" i="9"/>
  <c r="J13" i="9" a="1"/>
  <c r="J13" i="9"/>
  <c r="G16" i="9" a="1"/>
  <c r="G16" i="9"/>
  <c r="K23" i="9" a="1"/>
  <c r="K23" i="9"/>
  <c r="R28" i="9" a="1"/>
  <c r="R28" i="9"/>
  <c r="O33" i="9" a="1"/>
  <c r="O33" i="9"/>
  <c r="F33" i="9" a="1"/>
  <c r="F33" i="9"/>
  <c r="D32" i="9" a="1"/>
  <c r="D32" i="9"/>
  <c r="J19" i="9" a="1"/>
  <c r="J19" i="9"/>
  <c r="H12" i="9" a="1"/>
  <c r="H12" i="9"/>
  <c r="M26" i="9" a="1"/>
  <c r="M26" i="9"/>
  <c r="P21" i="9" a="1"/>
  <c r="P21" i="9"/>
  <c r="K18" i="9" a="1"/>
  <c r="K18" i="9"/>
  <c r="B15" i="9" a="1"/>
  <c r="B15" i="9"/>
  <c r="K10" i="9" a="1"/>
  <c r="K10" i="9"/>
  <c r="C29" i="9" a="1"/>
  <c r="C29" i="9"/>
  <c r="I24" i="9" a="1"/>
  <c r="I24" i="9"/>
  <c r="N20" i="9" a="1"/>
  <c r="N20" i="9"/>
  <c r="G17" i="9" a="1"/>
  <c r="G17" i="9"/>
  <c r="O13" i="9" a="1"/>
  <c r="O13" i="9"/>
  <c r="N29" i="9" a="1"/>
  <c r="N29" i="9"/>
  <c r="D26" i="9" a="1"/>
  <c r="D26" i="9"/>
  <c r="B21" i="9" a="1"/>
  <c r="B21" i="9"/>
  <c r="F17" i="9" a="1"/>
  <c r="F17" i="9"/>
  <c r="M12" i="9" a="1"/>
  <c r="M12" i="9"/>
  <c r="R30" i="9" a="1"/>
  <c r="R30" i="9"/>
  <c r="P26" i="9" a="1"/>
  <c r="P26" i="9"/>
  <c r="H22" i="9" a="1"/>
  <c r="H22" i="9"/>
  <c r="M18" i="9" a="1"/>
  <c r="M18" i="9"/>
  <c r="H14" i="9" a="1"/>
  <c r="H14" i="9"/>
  <c r="B10" i="9" a="1"/>
  <c r="B10" i="9"/>
  <c r="R24" i="9" a="1"/>
  <c r="R24" i="9"/>
  <c r="E17" i="9" a="1"/>
  <c r="E17" i="9"/>
  <c r="J28" i="9" a="1"/>
  <c r="J28" i="9"/>
  <c r="I31" i="9" a="1"/>
  <c r="I31" i="9"/>
  <c r="B23" i="9" a="1"/>
  <c r="B23" i="9"/>
  <c r="I15" i="9" a="1"/>
  <c r="I15" i="9"/>
  <c r="M24" i="9" a="1"/>
  <c r="M24" i="9"/>
  <c r="F31" i="9" a="1"/>
  <c r="F31" i="9"/>
  <c r="O22" i="9" a="1"/>
  <c r="O22" i="9"/>
  <c r="D15" i="9" a="1"/>
  <c r="D15" i="9"/>
  <c r="F28" i="9" a="1"/>
  <c r="F28" i="9"/>
  <c r="D28" i="9" a="1"/>
  <c r="D28" i="9"/>
  <c r="H19" i="9" a="1"/>
  <c r="H19" i="9"/>
  <c r="C12" i="9" a="1"/>
  <c r="C12" i="9"/>
  <c r="R23" i="9" a="1"/>
  <c r="R23" i="9"/>
  <c r="G33" i="9" a="1"/>
  <c r="G33" i="9"/>
  <c r="P14" i="9" a="1"/>
  <c r="P14" i="9"/>
  <c r="E28" i="9" a="1"/>
  <c r="E28" i="9"/>
  <c r="D33" i="9" a="1"/>
  <c r="D33" i="9"/>
  <c r="M33" i="9" a="1"/>
  <c r="M33" i="9"/>
  <c r="I32" i="9" a="1"/>
  <c r="I32" i="9"/>
  <c r="E12" i="9" a="1"/>
  <c r="E12" i="9"/>
  <c r="C15" i="9" a="1"/>
  <c r="C15" i="9"/>
  <c r="Q33" i="9" a="1"/>
  <c r="Q33" i="9"/>
  <c r="K31" i="9" a="1"/>
  <c r="K31" i="9"/>
  <c r="L10" i="9" a="1"/>
  <c r="L10" i="9"/>
  <c r="D18" i="9" a="1"/>
  <c r="D18" i="9"/>
  <c r="N31" i="9" a="1"/>
  <c r="N31" i="9"/>
  <c r="D12" i="9" a="1"/>
  <c r="D12" i="9"/>
  <c r="P10" i="9" a="1"/>
  <c r="P10" i="9"/>
  <c r="G14" i="9" a="1"/>
  <c r="G14" i="9"/>
  <c r="E30" i="9" a="1"/>
  <c r="E30" i="9"/>
  <c r="N33" i="9" a="1"/>
  <c r="N33" i="9"/>
  <c r="E13" i="9" a="1"/>
  <c r="E13" i="9"/>
  <c r="B27" i="9" a="1"/>
  <c r="B27" i="9"/>
  <c r="H15" i="9" a="1"/>
  <c r="H15" i="9"/>
  <c r="O29" i="9" a="1"/>
  <c r="O29" i="9"/>
  <c r="I21" i="9" a="1"/>
  <c r="I21" i="9"/>
  <c r="C30" i="9" a="1"/>
  <c r="C30" i="9"/>
  <c r="M17" i="9" a="1"/>
  <c r="M17" i="9"/>
  <c r="N22" i="9" a="1"/>
  <c r="N22" i="9"/>
  <c r="B19" i="9" a="1"/>
  <c r="B19" i="9"/>
  <c r="C27" i="9" a="1"/>
  <c r="C27" i="9"/>
  <c r="O23" i="9" a="1"/>
  <c r="O23" i="9"/>
  <c r="K12" i="9" a="1"/>
  <c r="K12" i="9"/>
  <c r="B16" i="9" a="1"/>
  <c r="B16" i="9"/>
  <c r="J20" i="9" a="1"/>
  <c r="J20" i="9"/>
  <c r="C26" i="9" a="1"/>
  <c r="C26" i="9"/>
  <c r="L15" i="9" a="1"/>
  <c r="L15" i="9"/>
  <c r="C32" i="9" a="1"/>
  <c r="C32" i="9"/>
  <c r="G10" i="9" a="1"/>
  <c r="G10" i="9"/>
  <c r="L17" i="9" a="1"/>
  <c r="L17" i="9"/>
  <c r="D30" i="9" a="1"/>
  <c r="D30" i="9"/>
  <c r="P29" i="9" a="1"/>
  <c r="P29" i="9"/>
  <c r="F26" i="9" a="1"/>
  <c r="F26" i="9"/>
  <c r="J21" i="9" a="1"/>
  <c r="J21" i="9"/>
  <c r="E18" i="9" a="1"/>
  <c r="E18" i="9"/>
  <c r="E14" i="9" a="1"/>
  <c r="E10" i="9" a="1"/>
  <c r="E10" i="9"/>
  <c r="O28" i="9" a="1"/>
  <c r="O28" i="9"/>
  <c r="L23" i="9" a="1"/>
  <c r="L23" i="9"/>
  <c r="R19" i="9" a="1"/>
  <c r="R19" i="9"/>
  <c r="R16" i="9" a="1"/>
  <c r="R16" i="9"/>
  <c r="H13" i="9" a="1"/>
  <c r="H13" i="9"/>
  <c r="H29" i="9" a="1"/>
  <c r="H29" i="9"/>
  <c r="N24" i="9" a="1"/>
  <c r="N24" i="9"/>
  <c r="M20" i="9" a="1"/>
  <c r="M20" i="9"/>
  <c r="Q16" i="9" a="1"/>
  <c r="Q16" i="9"/>
  <c r="F12" i="9" a="1"/>
  <c r="F12" i="9"/>
  <c r="M30" i="9" a="1"/>
  <c r="M30" i="9"/>
  <c r="I26" i="9" a="1"/>
  <c r="I26" i="9"/>
  <c r="B22" i="9" a="1"/>
  <c r="B22" i="9"/>
  <c r="H18" i="9" a="1"/>
  <c r="H18" i="9"/>
  <c r="R13" i="9" a="1"/>
  <c r="R13" i="9"/>
  <c r="M31" i="9" a="1"/>
  <c r="M31" i="9"/>
  <c r="Q23" i="9" a="1"/>
  <c r="Q23" i="9"/>
  <c r="I16" i="9" a="1"/>
  <c r="I16" i="9"/>
  <c r="O26" i="9" a="1"/>
  <c r="O26" i="9"/>
  <c r="K30" i="9" a="1"/>
  <c r="K30" i="9"/>
  <c r="C22" i="9" a="1"/>
  <c r="C22" i="9"/>
  <c r="I14" i="9" a="1"/>
  <c r="I14" i="9"/>
  <c r="R22" i="9" a="1"/>
  <c r="R22" i="9"/>
  <c r="G30" i="9" a="1"/>
  <c r="G30" i="9"/>
  <c r="Q21" i="9" a="1"/>
  <c r="Q21" i="9"/>
  <c r="F14" i="9" a="1"/>
  <c r="F14" i="9"/>
  <c r="J27" i="9" a="1"/>
  <c r="J27" i="9"/>
  <c r="E27" i="9" a="1"/>
  <c r="E27" i="9"/>
  <c r="I18" i="9" a="1"/>
  <c r="I18" i="9"/>
  <c r="C10" i="9" a="1"/>
  <c r="C10" i="9"/>
  <c r="E23" i="9" a="1"/>
  <c r="E23" i="9"/>
  <c r="B29" i="9" a="1"/>
  <c r="B29" i="9"/>
  <c r="G32" i="9" a="1"/>
  <c r="G32" i="9"/>
  <c r="K21" i="9" a="1"/>
  <c r="K21" i="9"/>
  <c r="K20" i="9" a="1"/>
  <c r="K20" i="9"/>
  <c r="E33" i="9" a="1"/>
  <c r="E33" i="9"/>
  <c r="L33" i="9" a="1"/>
  <c r="L33" i="9"/>
  <c r="O32" i="9" a="1"/>
  <c r="O32" i="9"/>
  <c r="Q12" i="9" a="1"/>
  <c r="Q12" i="9"/>
  <c r="T33" i="9" a="1"/>
  <c r="T33" i="9"/>
  <c r="S32" i="9" a="1"/>
  <c r="S32" i="9"/>
  <c r="Y30" i="9" a="1"/>
  <c r="Y30" i="9"/>
  <c r="X29" i="9" a="1"/>
  <c r="X29" i="9"/>
  <c r="W28" i="9" a="1"/>
  <c r="W28" i="9"/>
  <c r="V27" i="9" a="1"/>
  <c r="V27" i="9"/>
  <c r="U26" i="9" a="1"/>
  <c r="U26" i="9"/>
  <c r="T24" i="9" a="1"/>
  <c r="T24" i="9"/>
  <c r="S23" i="9" a="1"/>
  <c r="S23" i="9"/>
  <c r="Y21" i="9" a="1"/>
  <c r="Y21" i="9"/>
  <c r="X20" i="9" a="1"/>
  <c r="X20" i="9"/>
  <c r="W19" i="9" a="1"/>
  <c r="W19" i="9"/>
  <c r="U18" i="9" a="1"/>
  <c r="U18" i="9"/>
  <c r="T17" i="9" a="1"/>
  <c r="T17" i="9"/>
  <c r="S16" i="9" a="1"/>
  <c r="S16" i="9"/>
  <c r="Y14" i="9" a="1"/>
  <c r="Y14" i="9"/>
  <c r="X13" i="9" a="1"/>
  <c r="X13" i="9"/>
  <c r="W12" i="9" a="1"/>
  <c r="W12" i="9"/>
  <c r="V10" i="9" a="1"/>
  <c r="V10" i="9"/>
  <c r="Y33" i="9" a="1"/>
  <c r="Y33" i="9"/>
  <c r="V30" i="9" a="1"/>
  <c r="V30" i="9"/>
  <c r="S27" i="9" a="1"/>
  <c r="S27" i="9"/>
  <c r="W22" i="9" a="1"/>
  <c r="W22" i="9"/>
  <c r="S19" i="9" a="1"/>
  <c r="S19" i="9"/>
  <c r="W15" i="9" a="1"/>
  <c r="W15" i="9"/>
  <c r="T12" i="9" a="1"/>
  <c r="T12" i="9"/>
  <c r="W32" i="9" a="1"/>
  <c r="W32" i="9"/>
  <c r="T29" i="9" a="1"/>
  <c r="T29" i="9"/>
  <c r="X24" i="9" a="1"/>
  <c r="X24" i="9"/>
  <c r="U21" i="9" a="1"/>
  <c r="U21" i="9"/>
  <c r="X17" i="9" a="1"/>
  <c r="X17" i="9"/>
  <c r="T13" i="9" a="1"/>
  <c r="T13" i="9"/>
  <c r="V32" i="9" a="1"/>
  <c r="V32" i="9"/>
  <c r="S29" i="9" a="1"/>
  <c r="S29" i="9"/>
  <c r="W24" i="9" a="1"/>
  <c r="W24" i="9"/>
  <c r="T21" i="9" a="1"/>
  <c r="T21" i="9"/>
  <c r="W17" i="9" a="1"/>
  <c r="W17" i="9"/>
  <c r="T14" i="9" a="1"/>
  <c r="T14" i="9"/>
  <c r="S33" i="9" a="1"/>
  <c r="S33" i="9"/>
  <c r="Y31" i="9" a="1"/>
  <c r="Y31" i="9"/>
  <c r="X30" i="9" a="1"/>
  <c r="X30" i="9"/>
  <c r="W29" i="9" a="1"/>
  <c r="W29" i="9"/>
  <c r="V28" i="9" a="1"/>
  <c r="V28" i="9"/>
  <c r="U27" i="9" a="1"/>
  <c r="U27" i="9"/>
  <c r="T26" i="9" a="1"/>
  <c r="T26" i="9"/>
  <c r="S24" i="9" a="1"/>
  <c r="S24" i="9"/>
  <c r="Y22" i="9" a="1"/>
  <c r="Y22" i="9"/>
  <c r="X21" i="9" a="1"/>
  <c r="X21" i="9"/>
  <c r="W20" i="9" a="1"/>
  <c r="W20" i="9"/>
  <c r="U19" i="9" a="1"/>
  <c r="U19" i="9"/>
  <c r="T18" i="9" a="1"/>
  <c r="T18" i="9"/>
  <c r="S17" i="9" a="1"/>
  <c r="S17" i="9"/>
  <c r="Y15" i="9" a="1"/>
  <c r="Y15" i="9"/>
  <c r="X14" i="9" a="1"/>
  <c r="X14" i="9"/>
  <c r="W13" i="9" a="1"/>
  <c r="W13" i="9"/>
  <c r="V12" i="9" a="1"/>
  <c r="V12" i="9"/>
  <c r="U10" i="9" a="1"/>
  <c r="U10" i="9"/>
  <c r="X32" i="9" a="1"/>
  <c r="X32" i="9"/>
  <c r="U29" i="9" a="1"/>
  <c r="U29" i="9"/>
  <c r="Y24" i="9" a="1"/>
  <c r="Y24" i="9"/>
  <c r="V21" i="9" a="1"/>
  <c r="V21" i="9"/>
  <c r="Y17" i="9" a="1"/>
  <c r="Y17" i="9"/>
  <c r="V14" i="9" a="1"/>
  <c r="V14" i="9"/>
  <c r="S10" i="9" a="1"/>
  <c r="S10" i="9"/>
  <c r="V31" i="9" a="1"/>
  <c r="V31" i="9"/>
  <c r="S28" i="9" a="1"/>
  <c r="S28" i="9"/>
  <c r="W23" i="9" a="1"/>
  <c r="W23" i="9"/>
  <c r="T20" i="9" a="1"/>
  <c r="T20" i="9"/>
  <c r="W16" i="9" a="1"/>
  <c r="W16" i="9"/>
  <c r="U14" i="9" a="1"/>
  <c r="U14" i="9"/>
  <c r="W33" i="9" a="1"/>
  <c r="W33" i="9"/>
  <c r="T30" i="9" a="1"/>
  <c r="T30" i="9"/>
  <c r="X26" i="9" a="1"/>
  <c r="X26" i="9"/>
  <c r="U22" i="9" a="1"/>
  <c r="U22" i="9"/>
  <c r="X18" i="9" a="1"/>
  <c r="X18" i="9"/>
  <c r="U15" i="9" a="1"/>
  <c r="U15" i="9"/>
  <c r="V19" i="9" a="1"/>
  <c r="V19" i="9"/>
  <c r="Y32" i="9" a="1"/>
  <c r="Y32" i="9"/>
  <c r="X31" i="9" a="1"/>
  <c r="X31" i="9"/>
  <c r="W30" i="9" a="1"/>
  <c r="W30" i="9"/>
  <c r="V29" i="9" a="1"/>
  <c r="V29" i="9"/>
  <c r="U28" i="9" a="1"/>
  <c r="U28" i="9"/>
  <c r="T27" i="9" a="1"/>
  <c r="T27" i="9"/>
  <c r="S26" i="9" a="1"/>
  <c r="S26" i="9"/>
  <c r="Y23" i="9" a="1"/>
  <c r="Y23" i="9"/>
  <c r="X22" i="9" a="1"/>
  <c r="X22" i="9"/>
  <c r="W21" i="9" a="1"/>
  <c r="W21" i="9"/>
  <c r="V20" i="9" a="1"/>
  <c r="V20" i="9"/>
  <c r="T19" i="9" a="1"/>
  <c r="T19" i="9"/>
  <c r="S18" i="9" a="1"/>
  <c r="S18" i="9"/>
  <c r="Y16" i="9" a="1"/>
  <c r="Y16" i="9"/>
  <c r="X15" i="9" a="1"/>
  <c r="X15" i="9"/>
  <c r="W14" i="9" a="1"/>
  <c r="W14" i="9"/>
  <c r="V13" i="9" a="1"/>
  <c r="V13" i="9"/>
  <c r="U12" i="9" a="1"/>
  <c r="U12" i="9"/>
  <c r="T10" i="9" a="1"/>
  <c r="T10" i="9"/>
  <c r="W31" i="9" a="1"/>
  <c r="W31" i="9"/>
  <c r="T28" i="9" a="1"/>
  <c r="T28" i="9"/>
  <c r="X23" i="9" a="1"/>
  <c r="X23" i="9"/>
  <c r="U20" i="9" a="1"/>
  <c r="U20" i="9"/>
  <c r="X16" i="9" a="1"/>
  <c r="X16" i="9"/>
  <c r="U13" i="9" a="1"/>
  <c r="U13" i="9"/>
  <c r="X33" i="9" a="1"/>
  <c r="X33" i="9"/>
  <c r="U30" i="9" a="1"/>
  <c r="U30" i="9"/>
  <c r="Y26" i="9" a="1"/>
  <c r="Y26" i="9"/>
  <c r="V22" i="9" a="1"/>
  <c r="V22" i="9"/>
  <c r="Y18" i="9" a="1"/>
  <c r="Y18" i="9"/>
  <c r="V15" i="9" a="1"/>
  <c r="V15" i="9"/>
  <c r="S12" i="9" a="1"/>
  <c r="S12" i="9"/>
  <c r="U31" i="9" a="1"/>
  <c r="U31" i="9"/>
  <c r="Y27" i="9" a="1"/>
  <c r="Y27" i="9"/>
  <c r="V23" i="9" a="1"/>
  <c r="V23" i="9"/>
  <c r="S20" i="9" a="1"/>
  <c r="S20" i="9"/>
  <c r="V16" i="9" a="1"/>
  <c r="V16" i="9"/>
  <c r="S13" i="9" a="1"/>
  <c r="S13" i="9"/>
  <c r="V33" i="9" a="1"/>
  <c r="V33" i="9"/>
  <c r="U32" i="9" a="1"/>
  <c r="U32" i="9"/>
  <c r="T31" i="9" a="1"/>
  <c r="T31" i="9"/>
  <c r="S30" i="9" a="1"/>
  <c r="S30" i="9"/>
  <c r="Y28" i="9" a="1"/>
  <c r="Y28" i="9"/>
  <c r="X27" i="9" a="1"/>
  <c r="X27" i="9"/>
  <c r="W26" i="9" a="1"/>
  <c r="W26" i="9"/>
  <c r="V24" i="9" a="1"/>
  <c r="V24" i="9"/>
  <c r="U23" i="9" a="1"/>
  <c r="U23" i="9"/>
  <c r="T22" i="9" a="1"/>
  <c r="T22" i="9"/>
  <c r="S21" i="9" a="1"/>
  <c r="S21" i="9"/>
  <c r="Y19" i="9" a="1"/>
  <c r="Y19" i="9"/>
  <c r="W18" i="9" a="1"/>
  <c r="W18" i="9"/>
  <c r="V17" i="9" a="1"/>
  <c r="V17" i="9"/>
  <c r="U16" i="9" a="1"/>
  <c r="U16" i="9"/>
  <c r="T15" i="9" a="1"/>
  <c r="T15" i="9"/>
  <c r="S14" i="9" a="1"/>
  <c r="S14" i="9"/>
  <c r="Y12" i="9" a="1"/>
  <c r="Y12" i="9"/>
  <c r="X10" i="9" a="1"/>
  <c r="X10" i="9"/>
  <c r="U33" i="9" a="1"/>
  <c r="U33" i="9"/>
  <c r="T32" i="9" a="1"/>
  <c r="T32" i="9"/>
  <c r="S31" i="9" a="1"/>
  <c r="S31" i="9"/>
  <c r="Y29" i="9" a="1"/>
  <c r="Y29" i="9"/>
  <c r="X28" i="9" a="1"/>
  <c r="X28" i="9"/>
  <c r="W27" i="9" a="1"/>
  <c r="W27" i="9"/>
  <c r="V26" i="9" a="1"/>
  <c r="V26" i="9"/>
  <c r="U24" i="9" a="1"/>
  <c r="U24" i="9"/>
  <c r="T23" i="9" a="1"/>
  <c r="T23" i="9"/>
  <c r="S22" i="9" a="1"/>
  <c r="S22" i="9"/>
  <c r="Y20" i="9" a="1"/>
  <c r="Y20" i="9"/>
  <c r="X19" i="9" a="1"/>
  <c r="X19" i="9"/>
  <c r="V18" i="9" a="1"/>
  <c r="V18" i="9"/>
  <c r="U17" i="9" a="1"/>
  <c r="U17" i="9"/>
  <c r="T16" i="9" a="1"/>
  <c r="T16" i="9"/>
  <c r="S15" i="9" a="1"/>
  <c r="S15" i="9"/>
  <c r="Y13" i="9" a="1"/>
  <c r="Y13" i="9"/>
  <c r="X12" i="9" a="1"/>
  <c r="X12" i="9"/>
  <c r="W10" i="9" a="1"/>
  <c r="W10" i="9"/>
  <c r="Y10" i="9" a="1"/>
  <c r="Y10" i="9"/>
  <c r="F32" i="9" a="1"/>
  <c r="F32" i="9"/>
  <c r="B12" i="9" a="1"/>
  <c r="B12" i="9"/>
  <c r="P33" i="9" a="1"/>
  <c r="P33" i="9"/>
  <c r="I22" i="9" a="1"/>
  <c r="I22" i="9"/>
  <c r="G19" i="9" a="1"/>
  <c r="G19" i="9"/>
  <c r="H33" i="9" a="1"/>
  <c r="H33" i="9"/>
  <c r="B30" i="9" a="1"/>
  <c r="B30" i="9"/>
  <c r="M16" i="9" a="1"/>
  <c r="M16" i="9"/>
  <c r="C14" i="9" a="1"/>
  <c r="C14" i="9"/>
  <c r="O21" i="9" a="1"/>
  <c r="O21" i="9"/>
  <c r="C18" i="9" a="1"/>
  <c r="C18" i="9"/>
  <c r="K15" i="9" a="1"/>
  <c r="K15" i="9"/>
  <c r="J29" i="9" a="1"/>
  <c r="J29" i="9"/>
  <c r="M10" i="9" a="1"/>
  <c r="M10" i="9"/>
  <c r="B33" i="9" a="1"/>
  <c r="B33" i="9"/>
  <c r="F19" i="9" a="1"/>
  <c r="F19" i="9"/>
  <c r="N17" i="9" a="1"/>
  <c r="N17" i="9"/>
  <c r="N13" i="9" a="1"/>
  <c r="N13" i="9"/>
  <c r="N14" i="9" a="1"/>
  <c r="N14" i="9"/>
  <c r="H30" i="9" a="1"/>
  <c r="H30" i="9"/>
  <c r="L27" i="9" a="1"/>
  <c r="L27" i="9"/>
  <c r="E29" i="9" a="1"/>
  <c r="E29" i="9"/>
  <c r="R12" i="9" a="1"/>
  <c r="R12" i="9"/>
  <c r="I29" i="9" a="1"/>
  <c r="I29" i="9"/>
  <c r="P24" i="9" a="1"/>
  <c r="P24" i="9"/>
  <c r="C21" i="9" a="1"/>
  <c r="C21" i="9"/>
  <c r="O17" i="9" a="1"/>
  <c r="O17" i="9"/>
  <c r="I13" i="9" a="1"/>
  <c r="I13" i="9"/>
  <c r="Q31" i="9" a="1"/>
  <c r="Q31" i="9"/>
  <c r="H28" i="9" a="1"/>
  <c r="H28" i="9"/>
  <c r="F23" i="9" a="1"/>
  <c r="F23" i="9"/>
  <c r="L19" i="9" a="1"/>
  <c r="L19" i="9"/>
  <c r="K16" i="9" a="1"/>
  <c r="K16" i="9"/>
  <c r="B13" i="9" a="1"/>
  <c r="B13" i="9"/>
  <c r="N28" i="9" a="1"/>
  <c r="N28" i="9"/>
  <c r="H24" i="9" a="1"/>
  <c r="H24" i="9"/>
  <c r="G20" i="9" a="1"/>
  <c r="G20" i="9"/>
  <c r="C16" i="9" a="1"/>
  <c r="C16" i="9"/>
  <c r="Q10" i="9" a="1"/>
  <c r="Q10" i="9"/>
  <c r="F30" i="9" a="1"/>
  <c r="F30" i="9"/>
  <c r="B26" i="9" a="1"/>
  <c r="B26" i="9"/>
  <c r="L21" i="9" a="1"/>
  <c r="L21" i="9"/>
  <c r="K17" i="9" a="1"/>
  <c r="K17" i="9"/>
  <c r="K13" i="9" a="1"/>
  <c r="K13" i="9"/>
  <c r="L31" i="9" a="1"/>
  <c r="L31" i="9"/>
  <c r="D23" i="9" a="1"/>
  <c r="D23" i="9"/>
  <c r="J15" i="9" a="1"/>
  <c r="J15" i="9"/>
  <c r="N23" i="9" a="1"/>
  <c r="N23" i="9"/>
  <c r="K29" i="9" a="1"/>
  <c r="K29" i="9"/>
  <c r="R20" i="9" a="1"/>
  <c r="R20" i="9"/>
  <c r="L13" i="9" a="1"/>
  <c r="L13" i="9"/>
  <c r="R21" i="9" a="1"/>
  <c r="R21" i="9"/>
  <c r="G29" i="9" a="1"/>
  <c r="G29" i="9"/>
  <c r="P20" i="9" a="1"/>
  <c r="P20" i="9"/>
  <c r="G13" i="9" a="1"/>
  <c r="G13" i="9"/>
  <c r="J26" i="9" a="1"/>
  <c r="J26" i="9"/>
  <c r="G26" i="9" a="1"/>
  <c r="G26" i="9"/>
  <c r="J17" i="9" a="1"/>
  <c r="J17" i="9"/>
  <c r="N30" i="9" a="1"/>
  <c r="N30" i="9"/>
  <c r="F22" i="9" a="1"/>
  <c r="F22" i="9"/>
  <c r="M21" i="9" a="1"/>
  <c r="M21" i="9"/>
  <c r="B31" i="9" a="1"/>
  <c r="B31" i="9"/>
  <c r="L18" i="9" a="1"/>
  <c r="L18" i="9"/>
  <c r="D13" i="9" a="1"/>
  <c r="D13" i="9"/>
  <c r="F27" i="9" a="1"/>
  <c r="F27" i="9"/>
  <c r="H26" i="9" a="1"/>
  <c r="H26" i="9"/>
  <c r="B32" i="9" a="1"/>
  <c r="B32" i="9"/>
  <c r="N32" i="9" a="1"/>
  <c r="N32" i="9"/>
  <c r="R31" i="9" a="1"/>
  <c r="R31" i="9"/>
  <c r="E14" i="9"/>
  <c r="L24" i="9"/>
  <c r="E15" i="9"/>
  <c r="O14" i="9"/>
  <c r="M27" i="9"/>
  <c r="O16" i="9"/>
  <c r="AA3" i="9"/>
  <c r="I22" i="1"/>
  <c r="Z3" i="9"/>
  <c r="M23" i="1"/>
  <c r="R3" i="9"/>
  <c r="Q3" i="9"/>
  <c r="X3" i="9"/>
  <c r="Y3" i="9"/>
  <c r="W3" i="9"/>
  <c r="U3" i="9"/>
  <c r="E67" i="4"/>
  <c r="S3" i="9"/>
  <c r="C5" i="1"/>
  <c r="V3" i="9"/>
  <c r="T3" i="9"/>
  <c r="N3" i="9"/>
  <c r="K8" i="1"/>
  <c r="P3" i="9"/>
  <c r="M3" i="9"/>
  <c r="D3" i="9"/>
  <c r="E13" i="1"/>
  <c r="F13" i="1"/>
  <c r="G13" i="1"/>
  <c r="K3" i="9"/>
  <c r="G3" i="9"/>
  <c r="E16" i="1"/>
  <c r="F16" i="1"/>
  <c r="G16" i="1"/>
  <c r="O3" i="9"/>
  <c r="K9" i="1"/>
  <c r="L3" i="9"/>
  <c r="C3" i="9"/>
  <c r="E12" i="1"/>
  <c r="F12" i="1"/>
  <c r="G12" i="1"/>
  <c r="B3" i="9"/>
  <c r="E3" i="9"/>
  <c r="E14" i="1"/>
  <c r="F14" i="1"/>
  <c r="G14" i="1"/>
  <c r="F3" i="9"/>
  <c r="E15" i="1"/>
  <c r="F15" i="1"/>
  <c r="G15" i="1"/>
  <c r="J3" i="9"/>
  <c r="O25" i="1"/>
  <c r="O24" i="1"/>
  <c r="O23" i="1"/>
  <c r="O22" i="1"/>
  <c r="O26" i="1"/>
  <c r="O21" i="1"/>
  <c r="O20" i="1"/>
  <c r="F58" i="4"/>
  <c r="F57" i="4"/>
  <c r="F31" i="4"/>
  <c r="F49" i="4"/>
  <c r="F30" i="4"/>
  <c r="F3" i="4"/>
  <c r="F48" i="4"/>
  <c r="F29" i="4"/>
  <c r="F36" i="4"/>
  <c r="F28" i="4"/>
  <c r="F35" i="4"/>
  <c r="F27" i="4"/>
  <c r="F34" i="4"/>
  <c r="F10" i="4"/>
  <c r="F33" i="4"/>
  <c r="F7" i="4"/>
  <c r="F32" i="4"/>
  <c r="F6" i="4"/>
  <c r="F52" i="4"/>
  <c r="F43" i="4"/>
  <c r="F18" i="4"/>
  <c r="F40" i="4"/>
  <c r="F17" i="4"/>
  <c r="F38" i="4"/>
  <c r="F16" i="4"/>
  <c r="F2" i="4"/>
  <c r="F23" i="4"/>
  <c r="F15" i="4"/>
  <c r="F22" i="4"/>
  <c r="F14" i="4"/>
  <c r="F21" i="4"/>
  <c r="F13" i="4"/>
  <c r="F20" i="4"/>
  <c r="F12" i="4"/>
  <c r="F19" i="4"/>
  <c r="F5" i="4"/>
  <c r="J9" i="1"/>
  <c r="L9" i="1"/>
  <c r="F54" i="4"/>
  <c r="F53" i="4"/>
  <c r="F8" i="4"/>
  <c r="F45" i="4"/>
  <c r="F44" i="4"/>
  <c r="F41" i="4"/>
  <c r="F37" i="4"/>
  <c r="F24" i="4"/>
  <c r="F59" i="4"/>
  <c r="F56" i="4"/>
  <c r="F51" i="4"/>
  <c r="F26" i="4"/>
  <c r="F4" i="4"/>
  <c r="F25" i="4"/>
  <c r="F9" i="4"/>
  <c r="F50" i="4"/>
  <c r="F47" i="4"/>
  <c r="F42" i="4"/>
  <c r="F39" i="4"/>
  <c r="M20" i="1"/>
  <c r="J26" i="1"/>
  <c r="M25" i="1"/>
  <c r="J21" i="1"/>
  <c r="J24" i="1"/>
  <c r="H25" i="1"/>
  <c r="J23" i="1"/>
  <c r="J22" i="1"/>
  <c r="M21" i="1"/>
  <c r="I25" i="1"/>
  <c r="M22" i="1"/>
  <c r="J25" i="1"/>
  <c r="I24" i="1"/>
  <c r="J20" i="1"/>
  <c r="M26" i="1"/>
  <c r="M24" i="1"/>
  <c r="C6" i="1"/>
  <c r="J4" i="1"/>
  <c r="M4" i="1"/>
  <c r="J3" i="1"/>
  <c r="M3" i="1"/>
  <c r="C7" i="1"/>
  <c r="J8" i="1"/>
  <c r="L8" i="1"/>
  <c r="I6" i="11"/>
  <c r="H6" i="11"/>
  <c r="H3" i="11"/>
  <c r="J7" i="1"/>
  <c r="K7" i="1"/>
  <c r="I4" i="11"/>
  <c r="H4" i="11"/>
  <c r="I5" i="11"/>
  <c r="H5" i="11"/>
  <c r="K24" i="1"/>
  <c r="K26" i="1"/>
  <c r="K23" i="1"/>
  <c r="K25" i="1"/>
  <c r="I27" i="9"/>
  <c r="I3" i="9"/>
  <c r="K22" i="1"/>
  <c r="K21" i="1"/>
  <c r="K20" i="1"/>
  <c r="H27" i="9"/>
  <c r="H3" i="9"/>
  <c r="I12" i="1"/>
  <c r="K12" i="1"/>
  <c r="L7" i="1"/>
  <c r="F43" i="2"/>
  <c r="G18" i="1"/>
  <c r="J12" i="1"/>
  <c r="F32" i="2"/>
  <c r="F11" i="2"/>
  <c r="F28" i="2"/>
  <c r="F35" i="2"/>
  <c r="F44" i="2"/>
  <c r="G2" i="4"/>
  <c r="I2" i="4"/>
  <c r="K2" i="4"/>
  <c r="G4" i="4"/>
  <c r="G38" i="4"/>
  <c r="G42" i="4"/>
  <c r="G15" i="4"/>
  <c r="G20" i="4"/>
  <c r="G46" i="4"/>
  <c r="G7" i="4"/>
  <c r="G52" i="4"/>
  <c r="G11" i="4"/>
  <c r="G58" i="4"/>
  <c r="G32" i="4"/>
  <c r="G24" i="4"/>
  <c r="G50" i="4"/>
  <c r="G28" i="4"/>
  <c r="G18" i="4"/>
  <c r="G5" i="4"/>
  <c r="G9" i="4"/>
  <c r="G13" i="4"/>
  <c r="G17" i="4"/>
  <c r="G22" i="4"/>
  <c r="G26" i="4"/>
  <c r="G30" i="4"/>
  <c r="G36" i="4"/>
  <c r="G40" i="4"/>
  <c r="G44" i="4"/>
  <c r="G49" i="4"/>
  <c r="G56" i="4"/>
  <c r="G53" i="4"/>
  <c r="G34" i="4"/>
  <c r="G3" i="4"/>
  <c r="G6" i="4"/>
  <c r="G8" i="4"/>
  <c r="G10" i="4"/>
  <c r="G12" i="4"/>
  <c r="G14" i="4"/>
  <c r="G16" i="4"/>
  <c r="G19" i="4"/>
  <c r="G21" i="4"/>
  <c r="G23" i="4"/>
  <c r="G25" i="4"/>
  <c r="G27" i="4"/>
  <c r="G29" i="4"/>
  <c r="G31" i="4"/>
  <c r="G35" i="4"/>
  <c r="G37" i="4"/>
  <c r="G39" i="4"/>
  <c r="G41" i="4"/>
  <c r="G43" i="4"/>
  <c r="G45" i="4"/>
  <c r="G47" i="4"/>
  <c r="G51" i="4"/>
  <c r="G55" i="4"/>
  <c r="G57" i="4"/>
  <c r="G59" i="4"/>
  <c r="G54" i="4"/>
  <c r="G48" i="4"/>
  <c r="G33" i="4"/>
  <c r="F34" i="2"/>
  <c r="H54" i="4"/>
  <c r="H20" i="4"/>
  <c r="H4" i="4"/>
  <c r="H27" i="4"/>
  <c r="H10" i="4"/>
  <c r="H47" i="4"/>
  <c r="H15" i="4"/>
  <c r="H52" i="4"/>
  <c r="H56" i="4"/>
  <c r="H48" i="4"/>
  <c r="H3" i="4"/>
  <c r="H51" i="4"/>
  <c r="H19" i="4"/>
  <c r="H30" i="4"/>
  <c r="F27" i="2"/>
  <c r="F33" i="2"/>
  <c r="F29" i="2"/>
  <c r="F26" i="2"/>
  <c r="F24" i="2"/>
  <c r="F23" i="2"/>
  <c r="F22" i="2"/>
  <c r="F21" i="2"/>
  <c r="F20" i="2"/>
  <c r="F19" i="2"/>
  <c r="F18" i="2"/>
  <c r="F17" i="2"/>
  <c r="F16" i="2"/>
  <c r="F12" i="2"/>
  <c r="F9" i="2"/>
  <c r="F7" i="2"/>
  <c r="I7" i="4"/>
  <c r="K7" i="4"/>
  <c r="I54" i="4"/>
  <c r="K54" i="4"/>
  <c r="I50" i="4"/>
  <c r="K50" i="4"/>
  <c r="I3" i="4"/>
  <c r="K3" i="4"/>
  <c r="I53" i="4"/>
  <c r="K53" i="4"/>
  <c r="I33" i="4"/>
  <c r="K33" i="4"/>
  <c r="I17" i="4"/>
  <c r="K17" i="4"/>
  <c r="I14" i="4"/>
  <c r="K14" i="4"/>
  <c r="I47" i="4"/>
  <c r="K47" i="4"/>
  <c r="I31" i="4"/>
  <c r="K31" i="4"/>
  <c r="I29" i="4"/>
  <c r="K29" i="4"/>
  <c r="I27" i="4"/>
  <c r="K27" i="4"/>
  <c r="I25" i="4"/>
  <c r="K25" i="4"/>
  <c r="I23" i="4"/>
  <c r="K23" i="4"/>
  <c r="I21" i="4"/>
  <c r="K21" i="4"/>
  <c r="I9" i="4"/>
  <c r="K9" i="4"/>
  <c r="I49" i="4"/>
  <c r="K49" i="4"/>
  <c r="I52" i="4"/>
  <c r="K52" i="4"/>
  <c r="I32" i="4"/>
  <c r="K32" i="4"/>
  <c r="I30" i="4"/>
  <c r="K30" i="4"/>
  <c r="I28" i="4"/>
  <c r="K28" i="4"/>
  <c r="I26" i="4"/>
  <c r="K26" i="4"/>
  <c r="I24" i="4"/>
  <c r="K24" i="4"/>
  <c r="I22" i="4"/>
  <c r="K22" i="4"/>
  <c r="I8" i="4"/>
  <c r="K8" i="4"/>
  <c r="I58" i="4"/>
  <c r="K58" i="4"/>
  <c r="I44" i="4"/>
  <c r="K44" i="4"/>
  <c r="I42" i="4"/>
  <c r="K42" i="4"/>
  <c r="I40" i="4"/>
  <c r="K40" i="4"/>
  <c r="I38" i="4"/>
  <c r="K38" i="4"/>
  <c r="I36" i="4"/>
  <c r="K36" i="4"/>
  <c r="I19" i="4"/>
  <c r="K19" i="4"/>
  <c r="I16" i="4"/>
  <c r="K16" i="4"/>
  <c r="I10" i="4"/>
  <c r="K10" i="4"/>
  <c r="I57" i="4"/>
  <c r="K57" i="4"/>
  <c r="I45" i="4"/>
  <c r="K45" i="4"/>
  <c r="I43" i="4"/>
  <c r="K43" i="4"/>
  <c r="I41" i="4"/>
  <c r="K41" i="4"/>
  <c r="I39" i="4"/>
  <c r="K39" i="4"/>
  <c r="I37" i="4"/>
  <c r="K37" i="4"/>
  <c r="I15" i="4"/>
  <c r="K15" i="4"/>
  <c r="I12" i="4"/>
  <c r="K12" i="4"/>
  <c r="I5" i="4"/>
  <c r="K5" i="4"/>
  <c r="I6" i="4"/>
  <c r="K6" i="4"/>
  <c r="I20" i="4"/>
  <c r="K20" i="4"/>
  <c r="I4" i="4"/>
  <c r="K4" i="4"/>
  <c r="I51" i="4"/>
  <c r="K51" i="4"/>
  <c r="I13" i="4"/>
  <c r="K13" i="4"/>
  <c r="I56" i="4"/>
  <c r="K56" i="4"/>
  <c r="I18" i="4"/>
  <c r="K18" i="4"/>
  <c r="I59" i="4"/>
  <c r="K59" i="4"/>
  <c r="I35" i="4"/>
  <c r="K35" i="4"/>
  <c r="I48" i="4"/>
  <c r="K48" i="4"/>
  <c r="I34" i="4"/>
  <c r="K34" i="4"/>
  <c r="E11" i="1"/>
  <c r="F11" i="1"/>
  <c r="G11" i="1"/>
  <c r="L24" i="1"/>
  <c r="L23" i="1"/>
  <c r="L26" i="1"/>
  <c r="L22" i="1"/>
  <c r="L21" i="1"/>
  <c r="L20" i="1"/>
  <c r="L25" i="1"/>
  <c r="F55" i="4"/>
  <c r="I55" i="4"/>
  <c r="K55" i="4"/>
  <c r="F46" i="4"/>
  <c r="I46" i="4"/>
  <c r="K46" i="4"/>
  <c r="F11" i="4"/>
  <c r="I11" i="4"/>
  <c r="K11" i="4"/>
  <c r="G20" i="1"/>
  <c r="H20" i="1"/>
  <c r="I20" i="1"/>
  <c r="G24" i="1"/>
  <c r="H24" i="1"/>
  <c r="G21" i="1"/>
  <c r="H21" i="1"/>
  <c r="I21" i="1"/>
  <c r="G26" i="1"/>
  <c r="H26" i="1"/>
  <c r="I26" i="1"/>
  <c r="G23" i="1"/>
  <c r="H23" i="1"/>
  <c r="I23" i="1"/>
  <c r="G22" i="1"/>
  <c r="H22" i="1"/>
  <c r="G25" i="1"/>
  <c r="E18" i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www.d20srd.org/srd/equipment/weapons.htm#tableWeapons"/>
  </connection>
</connections>
</file>

<file path=xl/sharedStrings.xml><?xml version="1.0" encoding="utf-8"?>
<sst xmlns="http://schemas.openxmlformats.org/spreadsheetml/2006/main" count="1528" uniqueCount="568">
  <si>
    <t>Str</t>
  </si>
  <si>
    <t>Dex</t>
  </si>
  <si>
    <t>Int</t>
  </si>
  <si>
    <t>Con</t>
  </si>
  <si>
    <t>Wis</t>
  </si>
  <si>
    <t>Cha</t>
  </si>
  <si>
    <t>Total</t>
  </si>
  <si>
    <t>Base</t>
  </si>
  <si>
    <t>Misc</t>
  </si>
  <si>
    <t>Bonus</t>
  </si>
  <si>
    <t>Saves</t>
  </si>
  <si>
    <t>Fort</t>
  </si>
  <si>
    <t>Ref</t>
  </si>
  <si>
    <t>Will</t>
  </si>
  <si>
    <t>Hit Points</t>
  </si>
  <si>
    <t>Galamir</t>
  </si>
  <si>
    <t>Ranger</t>
  </si>
  <si>
    <t>Tempest</t>
  </si>
  <si>
    <t>AC</t>
  </si>
  <si>
    <t>Class</t>
  </si>
  <si>
    <t>Cost</t>
  </si>
  <si>
    <t>Value</t>
  </si>
  <si>
    <t>Quantity</t>
  </si>
  <si>
    <t>Description</t>
  </si>
  <si>
    <t>Mithral Breastplate (+1)</t>
  </si>
  <si>
    <t>When</t>
  </si>
  <si>
    <t>1st lvl</t>
  </si>
  <si>
    <t>Dodge</t>
  </si>
  <si>
    <t>Mobility</t>
  </si>
  <si>
    <t>Human</t>
  </si>
  <si>
    <t>Weapon Defense</t>
  </si>
  <si>
    <t>3rd lvl</t>
  </si>
  <si>
    <t>Spring Attack</t>
  </si>
  <si>
    <t>Oversized Two-Weapon Fighting</t>
  </si>
  <si>
    <t>6th lvl</t>
  </si>
  <si>
    <t>Track</t>
  </si>
  <si>
    <t>Rgr1</t>
  </si>
  <si>
    <t>Wild Empathy (1d20+7)</t>
  </si>
  <si>
    <t>Two Weapon Fighting</t>
  </si>
  <si>
    <t>Rgr2</t>
  </si>
  <si>
    <t>Endurance</t>
  </si>
  <si>
    <t>Rgr3</t>
  </si>
  <si>
    <t>Animal Companion</t>
  </si>
  <si>
    <t>Rgr4</t>
  </si>
  <si>
    <t>Improved Two Weapon Fighting</t>
  </si>
  <si>
    <t>Rgr6</t>
  </si>
  <si>
    <t xml:space="preserve">Tempest Defense </t>
  </si>
  <si>
    <t>Ambidexterity</t>
  </si>
  <si>
    <t>Ranks</t>
  </si>
  <si>
    <t xml:space="preserve">Location </t>
  </si>
  <si>
    <t>Gloves of Dex</t>
  </si>
  <si>
    <t>Hands</t>
  </si>
  <si>
    <t>Body</t>
  </si>
  <si>
    <t>Amulet of things</t>
  </si>
  <si>
    <t>Amulet of Listening</t>
  </si>
  <si>
    <t>Amulet of Spotting</t>
  </si>
  <si>
    <t>Amulet of Hide</t>
  </si>
  <si>
    <t>Amulet of Move Silently</t>
  </si>
  <si>
    <t>Amulet of Riding</t>
  </si>
  <si>
    <t>Amulet of Sense Motive</t>
  </si>
  <si>
    <t>Amulet of Survival</t>
  </si>
  <si>
    <t>Ring of Sustenance</t>
  </si>
  <si>
    <t>Spell</t>
  </si>
  <si>
    <t>Anticipate Teleportation</t>
  </si>
  <si>
    <t>Move</t>
  </si>
  <si>
    <t>Shield of Faith</t>
  </si>
  <si>
    <t xml:space="preserve">Resist Energy (Fire) </t>
  </si>
  <si>
    <t>9th lvl</t>
  </si>
  <si>
    <t>Ebon Eyes</t>
  </si>
  <si>
    <t xml:space="preserve">Protection of Evil </t>
  </si>
  <si>
    <t>Improved Invisibility</t>
  </si>
  <si>
    <t>Lion's Charge</t>
  </si>
  <si>
    <t>Celestial Aspect</t>
  </si>
  <si>
    <t>Cloak of Bravery</t>
  </si>
  <si>
    <t xml:space="preserve"> </t>
  </si>
  <si>
    <t>Darkwood Heavy Sheild (dancing)</t>
  </si>
  <si>
    <t>Haversack</t>
  </si>
  <si>
    <t>Improved Critical</t>
  </si>
  <si>
    <t>Hat</t>
  </si>
  <si>
    <t>Longsword (Masterwork, +2/+2) - one silver and one cold-iron</t>
  </si>
  <si>
    <t>Belt</t>
  </si>
  <si>
    <t>Hat of Disguise</t>
  </si>
  <si>
    <t>Ring (1)</t>
  </si>
  <si>
    <t>Ring (2)</t>
  </si>
  <si>
    <t>Item Familiar</t>
  </si>
  <si>
    <t>CL</t>
  </si>
  <si>
    <t>SP</t>
  </si>
  <si>
    <t>Extra</t>
  </si>
  <si>
    <t>Charges/Day</t>
  </si>
  <si>
    <t>Ring of Bless Weapon (Command Word)</t>
  </si>
  <si>
    <t>Skill</t>
  </si>
  <si>
    <t>R</t>
  </si>
  <si>
    <t>T</t>
  </si>
  <si>
    <t>Synergy</t>
  </si>
  <si>
    <t>Ability</t>
  </si>
  <si>
    <t>Appraise</t>
  </si>
  <si>
    <t>Autohypnosis</t>
  </si>
  <si>
    <t>Balance</t>
  </si>
  <si>
    <t>UT</t>
  </si>
  <si>
    <t>Bluff</t>
  </si>
  <si>
    <t>Climb</t>
  </si>
  <si>
    <t>Concentration</t>
  </si>
  <si>
    <t>Decipher Script</t>
  </si>
  <si>
    <t>Diplomacy</t>
  </si>
  <si>
    <t>Disable Device</t>
  </si>
  <si>
    <t>Disguise</t>
  </si>
  <si>
    <t>Escape Artist</t>
  </si>
  <si>
    <t>Forgery</t>
  </si>
  <si>
    <t>Gather Information</t>
  </si>
  <si>
    <t>Handle Animal</t>
  </si>
  <si>
    <t>Heal</t>
  </si>
  <si>
    <t>Hide</t>
  </si>
  <si>
    <t>Intimidate</t>
  </si>
  <si>
    <t>Jump</t>
  </si>
  <si>
    <t>Knowledge Arcana</t>
  </si>
  <si>
    <t>Knowledge Arch/Eng</t>
  </si>
  <si>
    <t>Knowledge Dungeon</t>
  </si>
  <si>
    <t>Knowledge Geography</t>
  </si>
  <si>
    <t>Knowledge History</t>
  </si>
  <si>
    <t>Knowledge Local</t>
  </si>
  <si>
    <t>Knowledge Nature</t>
  </si>
  <si>
    <t>Knowledge Nobility</t>
  </si>
  <si>
    <t>Knowledge The Planes</t>
  </si>
  <si>
    <t>Craft ???</t>
  </si>
  <si>
    <t>Knowledge Psionics</t>
  </si>
  <si>
    <t>Knowledge Religion</t>
  </si>
  <si>
    <t>Knowledge ???</t>
  </si>
  <si>
    <t>Listen</t>
  </si>
  <si>
    <t>Move Silently</t>
  </si>
  <si>
    <t>Open Lock</t>
  </si>
  <si>
    <t>Perform Act</t>
  </si>
  <si>
    <t>Perform Comedy</t>
  </si>
  <si>
    <t>Perform Dance</t>
  </si>
  <si>
    <t>Perform Keyboard</t>
  </si>
  <si>
    <t>Perform Oratory</t>
  </si>
  <si>
    <t>Perform Percussion</t>
  </si>
  <si>
    <t>Perform String Instr</t>
  </si>
  <si>
    <t>Perform Wind Instr</t>
  </si>
  <si>
    <t>Perform Sing</t>
  </si>
  <si>
    <t>Perform ???</t>
  </si>
  <si>
    <t>Profession ???</t>
  </si>
  <si>
    <t>Psicraft</t>
  </si>
  <si>
    <t>Ride</t>
  </si>
  <si>
    <t>Search</t>
  </si>
  <si>
    <t>Sense Motive</t>
  </si>
  <si>
    <t>Slieght of Hand</t>
  </si>
  <si>
    <t>Spellcraft</t>
  </si>
  <si>
    <t>Spot</t>
  </si>
  <si>
    <t>Survival</t>
  </si>
  <si>
    <t>Swim</t>
  </si>
  <si>
    <t>Tumble</t>
  </si>
  <si>
    <t>Use Magic Device</t>
  </si>
  <si>
    <t>Use Psionic Device</t>
  </si>
  <si>
    <t>Use Rope</t>
  </si>
  <si>
    <t>Amulet of Balance</t>
  </si>
  <si>
    <t>ACC</t>
  </si>
  <si>
    <t>Armor Check Penalty</t>
  </si>
  <si>
    <t>Spells</t>
  </si>
  <si>
    <t>Tiche's Touch</t>
  </si>
  <si>
    <t>Greater Magic Weapon</t>
  </si>
  <si>
    <t>Camel's Tenacity</t>
  </si>
  <si>
    <t>Pass without Trace</t>
  </si>
  <si>
    <t>Leave no trails</t>
  </si>
  <si>
    <t>Mass Camoflague</t>
  </si>
  <si>
    <t>Ebon Eyes (Continuous - Elatar Constructed)</t>
  </si>
  <si>
    <t>Resist Energy (Acid)</t>
  </si>
  <si>
    <t>Resist Energy (Electricity)</t>
  </si>
  <si>
    <t>Strongarm Bands</t>
  </si>
  <si>
    <t>2d6</t>
  </si>
  <si>
    <t>Huge</t>
  </si>
  <si>
    <t>Ring of Enlarge Person</t>
  </si>
  <si>
    <t>Two Weapon Spring Attack</t>
  </si>
  <si>
    <t>Tempest 5</t>
  </si>
  <si>
    <t>Tempest 1/3/5</t>
  </si>
  <si>
    <t>Tempest 2/4</t>
  </si>
  <si>
    <t>Blink Dog Speak</t>
  </si>
  <si>
    <t>Wind at Back</t>
  </si>
  <si>
    <t>Earrings of the Wolf (2 - Meri has one).</t>
  </si>
  <si>
    <t>Belt of Strength/Con</t>
  </si>
  <si>
    <t>Blade Bane</t>
  </si>
  <si>
    <t>Bow that has a pull strength of 26</t>
  </si>
  <si>
    <t>Spell Immunity</t>
  </si>
  <si>
    <t>Pair-wise Telepathy (to all characters)</t>
  </si>
  <si>
    <t>12th lvl</t>
  </si>
  <si>
    <t>Greater Heroism</t>
  </si>
  <si>
    <t>attacks, saves, still checks - Fear Immunity - 20 temp HP</t>
  </si>
  <si>
    <t>Shuffle</t>
  </si>
  <si>
    <t>Teleport 50' once per round as a move action</t>
  </si>
  <si>
    <t>Draconic Might</t>
  </si>
  <si>
    <t>Open Least Chakra/Impulse Boots</t>
  </si>
  <si>
    <t>Evasion/Uncanny Dodge</t>
  </si>
  <si>
    <t>Misc Bonus to Skill</t>
  </si>
  <si>
    <t>Consumable</t>
  </si>
  <si>
    <t>Ring of Anticipation</t>
  </si>
  <si>
    <t>x</t>
  </si>
  <si>
    <t>y</t>
  </si>
  <si>
    <t>Longstrider</t>
  </si>
  <si>
    <t>Item Familiar Bonus</t>
  </si>
  <si>
    <t>Boots of Flying x2 day + always expeditious retreat</t>
  </si>
  <si>
    <t>12 spent</t>
  </si>
  <si>
    <t xml:space="preserve">Bless Weapon </t>
  </si>
  <si>
    <t>good aligned and auto-confirm crits vs evil</t>
  </si>
  <si>
    <t>Conviction</t>
  </si>
  <si>
    <t>Life's Grace</t>
  </si>
  <si>
    <t>Target immune to death spells and effects, energy drain, negative energy effects, and undead special attacks that do ability damage, drain or disease.  Ghost touch property.</t>
  </si>
  <si>
    <t>Blindsight</t>
  </si>
  <si>
    <t xml:space="preserve">Blades of Fire = +1d8 fire - </t>
  </si>
  <si>
    <t>Stat</t>
  </si>
  <si>
    <t>Size</t>
  </si>
  <si>
    <t>Medium</t>
  </si>
  <si>
    <t>Player</t>
  </si>
  <si>
    <t>Character</t>
  </si>
  <si>
    <t>Classes</t>
  </si>
  <si>
    <t>Race</t>
  </si>
  <si>
    <t>Type</t>
  </si>
  <si>
    <t>Level</t>
  </si>
  <si>
    <t>Bonus Type</t>
  </si>
  <si>
    <t>Init</t>
  </si>
  <si>
    <t>Stat Bonus</t>
  </si>
  <si>
    <t>FortChart</t>
  </si>
  <si>
    <t>RefChart</t>
  </si>
  <si>
    <t>AttChart</t>
  </si>
  <si>
    <t>Races</t>
  </si>
  <si>
    <t>Self</t>
  </si>
  <si>
    <t>Treant</t>
  </si>
  <si>
    <t>Elf</t>
  </si>
  <si>
    <t>Dwarf</t>
  </si>
  <si>
    <t>Greg</t>
  </si>
  <si>
    <t>HitDie</t>
  </si>
  <si>
    <t>NatArm</t>
  </si>
  <si>
    <t>Space</t>
  </si>
  <si>
    <t>Reach</t>
  </si>
  <si>
    <t>Class1</t>
  </si>
  <si>
    <t>Class2</t>
  </si>
  <si>
    <t>Class3</t>
  </si>
  <si>
    <t>Class4</t>
  </si>
  <si>
    <t>Class5</t>
  </si>
  <si>
    <t>Save</t>
  </si>
  <si>
    <t>Attack</t>
  </si>
  <si>
    <t>Gnome</t>
  </si>
  <si>
    <t>Half-elf</t>
  </si>
  <si>
    <t>Half-orc</t>
  </si>
  <si>
    <t>Halfing</t>
  </si>
  <si>
    <t>Small</t>
  </si>
  <si>
    <t>Good</t>
  </si>
  <si>
    <t>Ave</t>
  </si>
  <si>
    <t>Poor</t>
  </si>
  <si>
    <t>SkillStart</t>
  </si>
  <si>
    <t>SkillLvl</t>
  </si>
  <si>
    <t>Barbarian</t>
  </si>
  <si>
    <t>WillChart</t>
  </si>
  <si>
    <t>Morale</t>
  </si>
  <si>
    <t>What</t>
  </si>
  <si>
    <t>In Use</t>
  </si>
  <si>
    <t>Duration</t>
  </si>
  <si>
    <t>Effect</t>
  </si>
  <si>
    <t>Notification of incoming teleportation</t>
  </si>
  <si>
    <t>Elation</t>
  </si>
  <si>
    <t>SkillBase</t>
  </si>
  <si>
    <t>Enhancement</t>
  </si>
  <si>
    <t>Epic</t>
  </si>
  <si>
    <t>Divine</t>
  </si>
  <si>
    <t>Perfection</t>
  </si>
  <si>
    <t>Exalted</t>
  </si>
  <si>
    <t>Alchemical</t>
  </si>
  <si>
    <t>Armor</t>
  </si>
  <si>
    <t>Circumstance</t>
  </si>
  <si>
    <t>Competence</t>
  </si>
  <si>
    <t>Deflection</t>
  </si>
  <si>
    <t>Insight</t>
  </si>
  <si>
    <t>Luck</t>
  </si>
  <si>
    <t>Natural Armor</t>
  </si>
  <si>
    <t>Profane</t>
  </si>
  <si>
    <t>Racial</t>
  </si>
  <si>
    <t>Resistance</t>
  </si>
  <si>
    <t>Sacred</t>
  </si>
  <si>
    <t>Shield</t>
  </si>
  <si>
    <t>Untyped</t>
  </si>
  <si>
    <t>None</t>
  </si>
  <si>
    <t>StrBase</t>
  </si>
  <si>
    <t>DexBase</t>
  </si>
  <si>
    <t>ConBase</t>
  </si>
  <si>
    <t>IntBase</t>
  </si>
  <si>
    <t>WisBase</t>
  </si>
  <si>
    <t>ChaBase</t>
  </si>
  <si>
    <t>Real</t>
  </si>
  <si>
    <t>Non-Lethal</t>
  </si>
  <si>
    <t>Damage</t>
  </si>
  <si>
    <t>Current</t>
  </si>
  <si>
    <t>Temp</t>
  </si>
  <si>
    <t>Haste</t>
  </si>
  <si>
    <t>In Use Test</t>
  </si>
  <si>
    <t>Caster</t>
  </si>
  <si>
    <t>Displacement</t>
  </si>
  <si>
    <t>50% failure to attacks, negates true seeing</t>
  </si>
  <si>
    <t>Ungulent Innards</t>
  </si>
  <si>
    <t>Poison</t>
  </si>
  <si>
    <t>Immune to Crits, Minimum damage from falling</t>
  </si>
  <si>
    <t>Disease</t>
  </si>
  <si>
    <t>Paralysis</t>
  </si>
  <si>
    <t>Bless</t>
  </si>
  <si>
    <t>Fear</t>
  </si>
  <si>
    <t>Prayer</t>
  </si>
  <si>
    <t>Skills</t>
  </si>
  <si>
    <t>Extra attack to full attack</t>
  </si>
  <si>
    <t>Ranged</t>
  </si>
  <si>
    <t>Melee</t>
  </si>
  <si>
    <t>Mode</t>
  </si>
  <si>
    <t>Single</t>
  </si>
  <si>
    <t>Full</t>
  </si>
  <si>
    <t>Primary</t>
  </si>
  <si>
    <t>Offhand</t>
  </si>
  <si>
    <t>Weapon</t>
  </si>
  <si>
    <t>Longsword</t>
  </si>
  <si>
    <t>Dagger</t>
  </si>
  <si>
    <t>Weight</t>
  </si>
  <si>
    <t>1d8</t>
  </si>
  <si>
    <t>Static</t>
  </si>
  <si>
    <t>Critical</t>
  </si>
  <si>
    <t>Flat-Footed</t>
  </si>
  <si>
    <t>Touch</t>
  </si>
  <si>
    <t>Base Melee</t>
  </si>
  <si>
    <t>Base Ranged</t>
  </si>
  <si>
    <t>Cheese</t>
  </si>
  <si>
    <t>On</t>
  </si>
  <si>
    <t>GREG: ADD type</t>
  </si>
  <si>
    <t>Ring of Polymorph</t>
  </si>
  <si>
    <t>Ring of Shrink Person</t>
  </si>
  <si>
    <t>Item cost calculator</t>
  </si>
  <si>
    <t>Large</t>
  </si>
  <si>
    <t>Cave Troll</t>
  </si>
  <si>
    <t>PolyLevel</t>
  </si>
  <si>
    <t>See in low light - look up</t>
  </si>
  <si>
    <t>Monstrous Regeneration</t>
  </si>
  <si>
    <t>regen 4/rd - only hurt by fire and acid</t>
  </si>
  <si>
    <t>Look up - improved invis</t>
  </si>
  <si>
    <t>Stay within 60ft of party - 30 DR</t>
  </si>
  <si>
    <t>Stay within 60ft of party - 10 DR</t>
  </si>
  <si>
    <t>Resist mind control</t>
  </si>
  <si>
    <t>Full Attack on charge</t>
  </si>
  <si>
    <t>Winged = 100' Horns = 1d8+1.5(str bonus)</t>
  </si>
  <si>
    <t>Extra attack on Full Attack</t>
  </si>
  <si>
    <t>Righteous Wrath</t>
  </si>
  <si>
    <t>Gain 2d8 Temp Hit Points</t>
  </si>
  <si>
    <t>Bonus is caster level</t>
  </si>
  <si>
    <t>4/3/2/1 descending bonus to saves.</t>
  </si>
  <si>
    <t>No Eating or Drinking for a day</t>
  </si>
  <si>
    <t>Hide bouns - look up</t>
  </si>
  <si>
    <t>Double overland movement for 12 hours</t>
  </si>
  <si>
    <t>2d6 damage against a creature type.</t>
  </si>
  <si>
    <t>Immue to Slow, Fireball, Lighting Ball, ice storm, scilating sphere</t>
  </si>
  <si>
    <t>Pair-wise Telepathy</t>
  </si>
  <si>
    <t>Battle Hymn</t>
  </si>
  <si>
    <t>Reroll one Will save/round</t>
  </si>
  <si>
    <t>Immunity to sleep and paralysis</t>
  </si>
  <si>
    <t>30 ignore invisibility</t>
  </si>
  <si>
    <t>ArmorBase</t>
  </si>
  <si>
    <t>ShieldBase</t>
  </si>
  <si>
    <t>Number</t>
  </si>
  <si>
    <t>Tiny</t>
  </si>
  <si>
    <t>Dimiutive</t>
  </si>
  <si>
    <t>Fine</t>
  </si>
  <si>
    <t>Gargantuan</t>
  </si>
  <si>
    <t>Colossal</t>
  </si>
  <si>
    <t>AC Penalty</t>
  </si>
  <si>
    <t>1d2</t>
  </si>
  <si>
    <t>1d3</t>
  </si>
  <si>
    <t>1d4</t>
  </si>
  <si>
    <t>1d6</t>
  </si>
  <si>
    <t>3d6</t>
  </si>
  <si>
    <t>4d6</t>
  </si>
  <si>
    <t>6d6</t>
  </si>
  <si>
    <t>8d8</t>
  </si>
  <si>
    <t>Combat Reflexes</t>
  </si>
  <si>
    <t>Weapons</t>
  </si>
  <si>
    <t>—</t>
  </si>
  <si>
    <t>Gauntlet</t>
  </si>
  <si>
    <t>Shortspear</t>
  </si>
  <si>
    <t>Falchion</t>
  </si>
  <si>
    <t>2d4</t>
  </si>
  <si>
    <t>1d10</t>
  </si>
  <si>
    <t>2d8</t>
  </si>
  <si>
    <t>3d8</t>
  </si>
  <si>
    <t>4d8</t>
  </si>
  <si>
    <t>6d8</t>
  </si>
  <si>
    <t>Greataxe</t>
  </si>
  <si>
    <t>1d12</t>
  </si>
  <si>
    <t>8d6</t>
  </si>
  <si>
    <t>Greatsword</t>
  </si>
  <si>
    <t>×2</t>
  </si>
  <si>
    <t>×3</t>
  </si>
  <si>
    <t>×3/×4</t>
  </si>
  <si>
    <t>×4</t>
  </si>
  <si>
    <t>19-20/×2</t>
  </si>
  <si>
    <t>18-20/×2</t>
  </si>
  <si>
    <t>Range Increment</t>
  </si>
  <si>
    <t>Dmg (S)</t>
  </si>
  <si>
    <t>Dmg (M)</t>
  </si>
  <si>
    <t>2 gp</t>
  </si>
  <si>
    <t>1 lb.</t>
  </si>
  <si>
    <t>Bludgeoning</t>
  </si>
  <si>
    <t>Unarmed strike</t>
  </si>
  <si>
    <t>10 ft.</t>
  </si>
  <si>
    <t>Piercing or slashing</t>
  </si>
  <si>
    <t>Dagger, punching</t>
  </si>
  <si>
    <t>Piercing</t>
  </si>
  <si>
    <t>Gauntlet, spiked</t>
  </si>
  <si>
    <t>5 gp</t>
  </si>
  <si>
    <t>Mace, light</t>
  </si>
  <si>
    <t>4 lb.</t>
  </si>
  <si>
    <t>Sickle</t>
  </si>
  <si>
    <t>6 gp</t>
  </si>
  <si>
    <t>2 lb.</t>
  </si>
  <si>
    <t>Slashing</t>
  </si>
  <si>
    <t>Club</t>
  </si>
  <si>
    <t>3 lb.</t>
  </si>
  <si>
    <t>Mace, heavy</t>
  </si>
  <si>
    <t>12 gp</t>
  </si>
  <si>
    <t>8 lb.</t>
  </si>
  <si>
    <t>Morningstar</t>
  </si>
  <si>
    <t>8 gp</t>
  </si>
  <si>
    <t>6 lb.</t>
  </si>
  <si>
    <t>Bludgeoning and piercing</t>
  </si>
  <si>
    <t>1 gp</t>
  </si>
  <si>
    <t>20 ft.</t>
  </si>
  <si>
    <t>9 lb.</t>
  </si>
  <si>
    <t>1d4/1d4</t>
  </si>
  <si>
    <t>1d6/1d6</t>
  </si>
  <si>
    <t>Spear</t>
  </si>
  <si>
    <t>Crossbow, heavy</t>
  </si>
  <si>
    <t>50 gp</t>
  </si>
  <si>
    <t>120 ft.</t>
  </si>
  <si>
    <t>Crossbow, light</t>
  </si>
  <si>
    <t>35 gp</t>
  </si>
  <si>
    <t>80 ft.</t>
  </si>
  <si>
    <t>Dart</t>
  </si>
  <si>
    <t>5 sp</t>
  </si>
  <si>
    <t>½ lb.</t>
  </si>
  <si>
    <t>Javelin</t>
  </si>
  <si>
    <t>30 ft.</t>
  </si>
  <si>
    <t>Sling</t>
  </si>
  <si>
    <t>50 ft.</t>
  </si>
  <si>
    <t>0 lb.</t>
  </si>
  <si>
    <t>5 lb.</t>
  </si>
  <si>
    <t>Axe, throwing</t>
  </si>
  <si>
    <t>Hammer, light</t>
  </si>
  <si>
    <t>Handaxe</t>
  </si>
  <si>
    <t>Kukri</t>
  </si>
  <si>
    <t>Pick, light</t>
  </si>
  <si>
    <t>4 gp</t>
  </si>
  <si>
    <t>Sap</t>
  </si>
  <si>
    <t>Shield, light</t>
  </si>
  <si>
    <t>special</t>
  </si>
  <si>
    <t>Spiked armor</t>
  </si>
  <si>
    <t>Spiked shield, light</t>
  </si>
  <si>
    <t>Sword, short</t>
  </si>
  <si>
    <t>10 gp</t>
  </si>
  <si>
    <t>Battleaxe</t>
  </si>
  <si>
    <t>Flail</t>
  </si>
  <si>
    <t>15 gp</t>
  </si>
  <si>
    <t>Pick, heavy</t>
  </si>
  <si>
    <t>Rapier</t>
  </si>
  <si>
    <t>20 gp</t>
  </si>
  <si>
    <t>Scimitar</t>
  </si>
  <si>
    <t>Shield, heavy</t>
  </si>
  <si>
    <t>Spiked shield, heavy</t>
  </si>
  <si>
    <t>Trident</t>
  </si>
  <si>
    <t>Warhammer</t>
  </si>
  <si>
    <t>75 gp</t>
  </si>
  <si>
    <t>10 lb.</t>
  </si>
  <si>
    <t>12 lb.</t>
  </si>
  <si>
    <t>Greatclub</t>
  </si>
  <si>
    <t>Flail, heavy</t>
  </si>
  <si>
    <t>9 gp</t>
  </si>
  <si>
    <t>Halberd</t>
  </si>
  <si>
    <t>Scythe</t>
  </si>
  <si>
    <t>18 gp</t>
  </si>
  <si>
    <t>Longbow</t>
  </si>
  <si>
    <t>100 ft.</t>
  </si>
  <si>
    <t>Longbow, composite</t>
  </si>
  <si>
    <t>100 gp</t>
  </si>
  <si>
    <t>110 ft.</t>
  </si>
  <si>
    <t>Shortbow</t>
  </si>
  <si>
    <t>30 gp</t>
  </si>
  <si>
    <t>60 ft.</t>
  </si>
  <si>
    <t>Shortbow, composite</t>
  </si>
  <si>
    <t>70 ft.</t>
  </si>
  <si>
    <t>Kama</t>
  </si>
  <si>
    <t>Nunchaku</t>
  </si>
  <si>
    <t>Sai</t>
  </si>
  <si>
    <t>Siangham</t>
  </si>
  <si>
    <t>3 gp</t>
  </si>
  <si>
    <t>Sword, bastard</t>
  </si>
  <si>
    <t>Waraxe, dwarven</t>
  </si>
  <si>
    <t>60 gp</t>
  </si>
  <si>
    <t>1d8/1d8</t>
  </si>
  <si>
    <t>15 lb.</t>
  </si>
  <si>
    <t>25 gp</t>
  </si>
  <si>
    <t>90 gp</t>
  </si>
  <si>
    <t>1d6/1d4</t>
  </si>
  <si>
    <t>1d8/1d6</t>
  </si>
  <si>
    <t>Bludgeoning/Piercing</t>
  </si>
  <si>
    <t>Slashing or piercing</t>
  </si>
  <si>
    <t>Bolas</t>
  </si>
  <si>
    <t>Crossbow, hand</t>
  </si>
  <si>
    <t>Crossbow, repeating heavy</t>
  </si>
  <si>
    <t>400 gp</t>
  </si>
  <si>
    <t>Crossbow, repeating light</t>
  </si>
  <si>
    <t>250 gp</t>
  </si>
  <si>
    <t>Shuriken (5)</t>
  </si>
  <si>
    <t>Glaive</t>
  </si>
  <si>
    <t>Guisarme</t>
  </si>
  <si>
    <t>Lance</t>
  </si>
  <si>
    <t>Longspear</t>
  </si>
  <si>
    <t>Quarterstaff</t>
  </si>
  <si>
    <t>Ranseur</t>
  </si>
  <si>
    <t>Whip</t>
  </si>
  <si>
    <t>Axe, orc double</t>
  </si>
  <si>
    <t>Chain, spiked</t>
  </si>
  <si>
    <t>Flail, dire</t>
  </si>
  <si>
    <t>Hammer, gnome hooked</t>
  </si>
  <si>
    <t>Sword, two-bladed</t>
  </si>
  <si>
    <t>Urgrosh, dwarven</t>
  </si>
  <si>
    <t>Attack Hand</t>
  </si>
  <si>
    <t>Attack Full</t>
  </si>
  <si>
    <t>Attack Type</t>
  </si>
  <si>
    <t>D Type</t>
  </si>
  <si>
    <t>Two Handed</t>
  </si>
  <si>
    <t>Keen</t>
  </si>
  <si>
    <t>Keen/Critical</t>
  </si>
  <si>
    <t>17-20/×2</t>
  </si>
  <si>
    <t>19-20/×3</t>
  </si>
  <si>
    <t>19-20/×4</t>
  </si>
  <si>
    <t>15-20/×2</t>
  </si>
  <si>
    <t>19-20/×3/19-20×4</t>
  </si>
  <si>
    <t>Weapon Damage Table</t>
  </si>
  <si>
    <t>10d6</t>
  </si>
  <si>
    <t>10d8</t>
  </si>
  <si>
    <t>12d6</t>
  </si>
  <si>
    <t>12d8</t>
  </si>
  <si>
    <t>14d6</t>
  </si>
  <si>
    <t>14d8</t>
  </si>
  <si>
    <t>Offhand Attacks</t>
  </si>
  <si>
    <t>Fire Shield</t>
  </si>
  <si>
    <t>d6+12 divine dmg to melee attacker who hit you without reach. Take half save for none vs. fire attacks</t>
  </si>
  <si>
    <t>Kaupauer's Skittish Nerves</t>
  </si>
  <si>
    <t>Ice Shield</t>
  </si>
  <si>
    <t>DR 15/-  Expires after absorbing 150 points</t>
  </si>
  <si>
    <t>Heart of Earth</t>
  </si>
  <si>
    <t xml:space="preserve">'+8 bonus to resist bull rush, overrun, and trip. Temp HP = 30. Can expend as swift act for Stoneskin (DR 10/adamantine, discharged after 150 damage) 1 rd/lvl. </t>
  </si>
  <si>
    <t>Greater Dimension Door</t>
  </si>
  <si>
    <t>Can teleport self and up to 9 adjacent willing medium objects/creatures anywhere within 95' of your current position 1/rd as a move action that doesn't provoke. Large creatures count as 4xMedium.</t>
  </si>
  <si>
    <t>Exotic Weapon Prof</t>
  </si>
  <si>
    <t>Belt of Battle</t>
  </si>
  <si>
    <t>Spiderskin</t>
  </si>
  <si>
    <t>Speed Swim</t>
  </si>
  <si>
    <t>Hide from Animal</t>
  </si>
  <si>
    <t>Can't be seen by animals</t>
  </si>
  <si>
    <t>Immune from Poison</t>
  </si>
  <si>
    <t>Freedom of Movement</t>
  </si>
  <si>
    <t>Ignore all movement penalties</t>
  </si>
  <si>
    <t>Hide bonus</t>
  </si>
  <si>
    <t>Hills + Hide</t>
  </si>
  <si>
    <t>circumstance bonus +20</t>
  </si>
  <si>
    <t>Owl's Insight</t>
  </si>
  <si>
    <t>Normal</t>
  </si>
  <si>
    <t>Energetic Heal</t>
  </si>
  <si>
    <t>260 points versus fire 10% added to health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</si>
</sst>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</font>
  </fonts>
  <fills count="7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7" tint="0.59996337778862885"/>
        <bgColor indexed="64"/>
      </patternFill>
    </fill>
  </fills>
  <borders count="2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0" borderId="0" xfId="0" applyFont="1"/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2" fillId="3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5" borderId="0" xfId="0" applyFont="1" applyFill="1"/>
    <xf numFmtId="0" fontId="0" fillId="3" borderId="2" xfId="0" applyFill="1" applyBorder="1"/>
    <xf numFmtId="0" fontId="0" fillId="3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2" fillId="3" borderId="9" xfId="0" applyFont="1" applyFill="1" applyBorder="1"/>
    <xf numFmtId="0" fontId="0" fillId="6" borderId="11" xfId="0" applyFill="1" applyBorder="1"/>
    <xf numFmtId="0" fontId="0" fillId="5" borderId="11" xfId="0" applyFill="1" applyBorder="1"/>
    <xf numFmtId="0" fontId="0" fillId="4" borderId="5" xfId="0" applyFill="1" applyBorder="1"/>
    <xf numFmtId="0" fontId="0" fillId="6" borderId="12" xfId="0" applyFill="1" applyBorder="1"/>
    <xf numFmtId="0" fontId="0" fillId="5" borderId="12" xfId="0" applyFill="1" applyBorder="1"/>
    <xf numFmtId="0" fontId="0" fillId="4" borderId="7" xfId="0" applyFill="1" applyBorder="1"/>
    <xf numFmtId="0" fontId="2" fillId="3" borderId="13" xfId="0" applyFont="1" applyFill="1" applyBorder="1"/>
    <xf numFmtId="0" fontId="0" fillId="3" borderId="13" xfId="0" applyFill="1" applyBorder="1"/>
    <xf numFmtId="0" fontId="2" fillId="3" borderId="3" xfId="0" applyFont="1" applyFill="1" applyBorder="1"/>
    <xf numFmtId="0" fontId="2" fillId="3" borderId="14" xfId="0" applyFont="1" applyFill="1" applyBorder="1"/>
    <xf numFmtId="0" fontId="0" fillId="6" borderId="15" xfId="0" applyFill="1" applyBorder="1"/>
    <xf numFmtId="0" fontId="0" fillId="6" borderId="16" xfId="0" applyFill="1" applyBorder="1"/>
    <xf numFmtId="0" fontId="0" fillId="3" borderId="1" xfId="0" applyFill="1" applyBorder="1"/>
    <xf numFmtId="0" fontId="2" fillId="3" borderId="17" xfId="0" applyFont="1" applyFill="1" applyBorder="1"/>
    <xf numFmtId="0" fontId="2" fillId="3" borderId="18" xfId="0" applyFont="1" applyFill="1" applyBorder="1"/>
    <xf numFmtId="0" fontId="0" fillId="5" borderId="15" xfId="0" applyFill="1" applyBorder="1"/>
    <xf numFmtId="0" fontId="0" fillId="5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2" fillId="6" borderId="19" xfId="0" applyFont="1" applyFill="1" applyBorder="1"/>
    <xf numFmtId="0" fontId="2" fillId="6" borderId="17" xfId="0" applyFont="1" applyFill="1" applyBorder="1"/>
    <xf numFmtId="0" fontId="0" fillId="4" borderId="17" xfId="0" applyFill="1" applyBorder="1"/>
    <xf numFmtId="0" fontId="0" fillId="3" borderId="17" xfId="0" applyFont="1" applyFill="1" applyBorder="1"/>
    <xf numFmtId="0" fontId="0" fillId="3" borderId="18" xfId="0" applyFont="1" applyFill="1" applyBorder="1"/>
    <xf numFmtId="0" fontId="0" fillId="4" borderId="18" xfId="0" applyFill="1" applyBorder="1"/>
    <xf numFmtId="0" fontId="2" fillId="0" borderId="0" xfId="0" applyFont="1" applyFill="1" applyBorder="1"/>
    <xf numFmtId="0" fontId="2" fillId="3" borderId="8" xfId="0" applyFont="1" applyFill="1" applyBorder="1"/>
    <xf numFmtId="0" fontId="2" fillId="3" borderId="1" xfId="0" applyFont="1" applyFill="1" applyBorder="1"/>
    <xf numFmtId="0" fontId="0" fillId="0" borderId="0" xfId="0" applyFont="1" applyFill="1" applyBorder="1"/>
    <xf numFmtId="0" fontId="0" fillId="4" borderId="12" xfId="0" applyFill="1" applyBorder="1"/>
    <xf numFmtId="0" fontId="0" fillId="3" borderId="2" xfId="0" applyFont="1" applyFill="1" applyBorder="1"/>
    <xf numFmtId="0" fontId="2" fillId="4" borderId="2" xfId="0" applyFont="1" applyFill="1" applyBorder="1"/>
    <xf numFmtId="0" fontId="0" fillId="4" borderId="13" xfId="0" applyFill="1" applyBorder="1"/>
    <xf numFmtId="0" fontId="0" fillId="4" borderId="3" xfId="0" applyFill="1" applyBorder="1"/>
    <xf numFmtId="0" fontId="0" fillId="6" borderId="4" xfId="0" applyFont="1" applyFill="1" applyBorder="1"/>
    <xf numFmtId="0" fontId="0" fillId="6" borderId="6" xfId="0" applyFont="1" applyFill="1" applyBorder="1"/>
    <xf numFmtId="0" fontId="2" fillId="6" borderId="11" xfId="0" applyFont="1" applyFill="1" applyBorder="1"/>
    <xf numFmtId="0" fontId="2" fillId="6" borderId="12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6" borderId="8" xfId="0" applyFont="1" applyFill="1" applyBorder="1"/>
    <xf numFmtId="0" fontId="2" fillId="6" borderId="9" xfId="0" applyFont="1" applyFill="1" applyBorder="1"/>
    <xf numFmtId="0" fontId="0" fillId="6" borderId="9" xfId="0" applyFill="1" applyBorder="1"/>
    <xf numFmtId="0" fontId="0" fillId="3" borderId="0" xfId="0" applyFont="1" applyFill="1"/>
    <xf numFmtId="0" fontId="2" fillId="4" borderId="20" xfId="0" applyFont="1" applyFill="1" applyBorder="1"/>
    <xf numFmtId="0" fontId="2" fillId="4" borderId="21" xfId="0" applyFont="1" applyFill="1" applyBorder="1"/>
    <xf numFmtId="0" fontId="0" fillId="5" borderId="9" xfId="0" applyFill="1" applyBorder="1"/>
    <xf numFmtId="0" fontId="2" fillId="4" borderId="9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0" borderId="0" xfId="0" applyFont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weapons.htm#tableWeapon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R38"/>
  <sheetViews>
    <sheetView tabSelected="1" workbookViewId="0">
      <selection activeCell="K18" sqref="K18"/>
    </sheetView>
  </sheetViews>
  <sheetFormatPr defaultColWidth="8.85546875" defaultRowHeight="12.75" x14ac:dyDescent="0.2"/>
  <cols>
    <col min="2" max="2" width="11.42578125" customWidth="1"/>
    <col min="3" max="3" width="10" customWidth="1"/>
    <col min="4" max="4" width="10.85546875" customWidth="1"/>
    <col min="5" max="5" width="12.140625" customWidth="1"/>
    <col min="7" max="7" width="9.42578125" customWidth="1"/>
    <col min="9" max="9" width="11.140625" customWidth="1"/>
    <col min="10" max="10" width="10.28515625" customWidth="1"/>
    <col min="12" max="12" width="9.85546875" customWidth="1"/>
    <col min="16" max="16" width="11.42578125" customWidth="1"/>
    <col min="17" max="17" width="10" customWidth="1"/>
  </cols>
  <sheetData>
    <row r="1" spans="2:18" ht="13.5" thickBot="1" x14ac:dyDescent="0.25"/>
    <row r="2" spans="2:18" ht="14.25" thickTop="1" thickBot="1" x14ac:dyDescent="0.25">
      <c r="B2" s="36" t="s">
        <v>210</v>
      </c>
      <c r="C2" s="37" t="s">
        <v>227</v>
      </c>
      <c r="F2" s="10" t="s">
        <v>212</v>
      </c>
      <c r="G2" s="11" t="s">
        <v>215</v>
      </c>
      <c r="I2" s="45" t="s">
        <v>14</v>
      </c>
      <c r="J2" s="26" t="s">
        <v>7</v>
      </c>
      <c r="K2" s="23" t="s">
        <v>289</v>
      </c>
      <c r="L2" s="23" t="s">
        <v>287</v>
      </c>
      <c r="M2" s="25" t="s">
        <v>288</v>
      </c>
    </row>
    <row r="3" spans="2:18" ht="13.5" thickTop="1" x14ac:dyDescent="0.2">
      <c r="B3" s="34" t="s">
        <v>211</v>
      </c>
      <c r="C3" s="38" t="s">
        <v>15</v>
      </c>
      <c r="F3" s="12" t="s">
        <v>16</v>
      </c>
      <c r="G3" s="13">
        <v>8</v>
      </c>
      <c r="I3" s="30" t="s">
        <v>285</v>
      </c>
      <c r="J3" s="32">
        <f>SUM($G$3:$G$7)*$G$13+HLOOKUP($I$2, Bonus!$B$2:$ZZ$3, 2, FALSE)</f>
        <v>216</v>
      </c>
      <c r="K3" s="17">
        <v>20</v>
      </c>
      <c r="L3" s="17">
        <v>0</v>
      </c>
      <c r="M3" s="19">
        <f>J3-L3+K3</f>
        <v>236</v>
      </c>
    </row>
    <row r="4" spans="2:18" ht="13.5" thickBot="1" x14ac:dyDescent="0.25">
      <c r="B4" s="34" t="s">
        <v>213</v>
      </c>
      <c r="C4" s="38" t="s">
        <v>330</v>
      </c>
      <c r="F4" s="12" t="s">
        <v>17</v>
      </c>
      <c r="G4" s="13">
        <v>5</v>
      </c>
      <c r="I4" s="31" t="s">
        <v>286</v>
      </c>
      <c r="J4" s="33">
        <f>SUM($G$3:$G$7)*$G$13+HLOOKUP($I$2, Bonus!$B$2:$ZZ$3, 2, FALSE)</f>
        <v>216</v>
      </c>
      <c r="K4" s="20">
        <v>20</v>
      </c>
      <c r="L4" s="20">
        <v>0</v>
      </c>
      <c r="M4" s="22">
        <f>J4-L4+K4</f>
        <v>236</v>
      </c>
    </row>
    <row r="5" spans="2:18" ht="14.25" thickTop="1" thickBot="1" x14ac:dyDescent="0.25">
      <c r="B5" s="34" t="s">
        <v>208</v>
      </c>
      <c r="C5" s="39" t="str">
        <f>VLOOKUP(VLOOKUP(INDEX(Races!$A$2:$AAA$24999, MATCH($C$4,Races!$A$2:$A$24999,0), MATCH("Size",Races!$A$2:$AAA$2,0)), Charts!L9:M17, 2, FALSE) + HLOOKUP("Size", Bonus!$B$2:$ZZ$3, 2, FALSE), Charts!M9:N17, 2, FALSE)</f>
        <v>Huge</v>
      </c>
      <c r="F5" s="12" t="s">
        <v>278</v>
      </c>
      <c r="G5" s="13">
        <v>0</v>
      </c>
    </row>
    <row r="6" spans="2:18" ht="14.25" thickTop="1" thickBot="1" x14ac:dyDescent="0.25">
      <c r="B6" s="40" t="s">
        <v>217</v>
      </c>
      <c r="C6" s="39">
        <f>HLOOKUP(B6, Bonus!$B$2:$ZZ$3, 2, FALSE)+$G$12</f>
        <v>3</v>
      </c>
      <c r="F6" s="12" t="s">
        <v>278</v>
      </c>
      <c r="G6" s="13">
        <v>0</v>
      </c>
      <c r="I6" s="29" t="s">
        <v>10</v>
      </c>
      <c r="J6" s="26" t="s">
        <v>7</v>
      </c>
      <c r="K6" s="23" t="s">
        <v>9</v>
      </c>
      <c r="L6" s="25" t="s">
        <v>6</v>
      </c>
    </row>
    <row r="7" spans="2:18" ht="14.25" thickTop="1" thickBot="1" x14ac:dyDescent="0.25">
      <c r="B7" s="41" t="s">
        <v>64</v>
      </c>
      <c r="C7" s="42">
        <f>HLOOKUP(B7, Bonus!$B$2:$ZZ$3, 2, FALSE)</f>
        <v>75</v>
      </c>
      <c r="F7" s="14" t="s">
        <v>278</v>
      </c>
      <c r="G7" s="15">
        <v>0</v>
      </c>
      <c r="I7" s="34" t="s">
        <v>11</v>
      </c>
      <c r="J7" s="32">
        <f>G13</f>
        <v>11</v>
      </c>
      <c r="K7" s="18">
        <f>HLOOKUP(I7, Bonus!$B$2:$ZZ$3, 2, FALSE)</f>
        <v>19</v>
      </c>
      <c r="L7" s="19">
        <f t="shared" ref="L7:L9" si="0">SUM(J7:K7)</f>
        <v>30</v>
      </c>
    </row>
    <row r="8" spans="2:18" ht="13.5" thickTop="1" x14ac:dyDescent="0.2">
      <c r="I8" s="34" t="s">
        <v>12</v>
      </c>
      <c r="J8" s="32">
        <f>G12</f>
        <v>3</v>
      </c>
      <c r="K8" s="18">
        <f>HLOOKUP(I8, Bonus!$B$2:$ZZ$3, 2, FALSE)</f>
        <v>17</v>
      </c>
      <c r="L8" s="19">
        <f t="shared" si="0"/>
        <v>20</v>
      </c>
    </row>
    <row r="9" spans="2:18" ht="13.5" thickBot="1" x14ac:dyDescent="0.25">
      <c r="I9" s="35" t="s">
        <v>13</v>
      </c>
      <c r="J9" s="33">
        <f>G15</f>
        <v>1</v>
      </c>
      <c r="K9" s="21">
        <f>HLOOKUP(I9, Bonus!$B$2:$ZZ$3, 2, FALSE)</f>
        <v>7</v>
      </c>
      <c r="L9" s="22">
        <f t="shared" si="0"/>
        <v>8</v>
      </c>
    </row>
    <row r="10" spans="2:18" ht="14.25" thickTop="1" thickBot="1" x14ac:dyDescent="0.25">
      <c r="B10" s="29" t="s">
        <v>207</v>
      </c>
      <c r="C10" s="26" t="s">
        <v>223</v>
      </c>
      <c r="D10" s="24" t="s">
        <v>7</v>
      </c>
      <c r="E10" s="24" t="s">
        <v>9</v>
      </c>
      <c r="F10" s="24" t="s">
        <v>6</v>
      </c>
      <c r="G10" s="25" t="s">
        <v>218</v>
      </c>
    </row>
    <row r="11" spans="2:18" ht="14.25" thickTop="1" thickBot="1" x14ac:dyDescent="0.25">
      <c r="B11" s="30" t="s">
        <v>0</v>
      </c>
      <c r="C11" s="27">
        <v>19</v>
      </c>
      <c r="D11" s="18">
        <f>INDEX(Races!$A$2:$AAA$24999, MATCH($C$4,Races!$A$2:$A$24999,0), MATCH($B11&amp;"Base",Races!$A$2:$AAA$2,0))</f>
        <v>29</v>
      </c>
      <c r="E11" s="18">
        <f>HLOOKUP(B11, Bonus!$B$2:$ZZ$3, 2, FALSE)</f>
        <v>9</v>
      </c>
      <c r="F11" s="18">
        <f>SUM(D11:E11)</f>
        <v>38</v>
      </c>
      <c r="G11" s="19">
        <f>TRUNC((F11-10)/2)</f>
        <v>14</v>
      </c>
      <c r="I11" s="48" t="s">
        <v>18</v>
      </c>
      <c r="J11" s="23" t="s">
        <v>319</v>
      </c>
      <c r="K11" s="25" t="s">
        <v>320</v>
      </c>
      <c r="L11" s="1"/>
      <c r="M11" s="1"/>
    </row>
    <row r="12" spans="2:18" ht="14.25" thickTop="1" thickBot="1" x14ac:dyDescent="0.25">
      <c r="B12" s="30" t="s">
        <v>1</v>
      </c>
      <c r="C12" s="27">
        <v>17</v>
      </c>
      <c r="D12" s="18">
        <f>INDEX(Races!$A$2:$AAA$24999, MATCH($C$4,Races!$A$2:$A$24999,0), MATCH($B12&amp;"Base",Races!$A$2:$AAA$2,0))</f>
        <v>13</v>
      </c>
      <c r="E12" s="18">
        <f>HLOOKUP(B12, Bonus!$B$2:$ZZ$3, 2, FALSE)</f>
        <v>3</v>
      </c>
      <c r="F12" s="18">
        <f t="shared" ref="F12:F16" si="1">SUM(D12:E12)</f>
        <v>16</v>
      </c>
      <c r="G12" s="19">
        <f t="shared" ref="G12:G16" si="2">TRUNC((F12-10)/2)</f>
        <v>3</v>
      </c>
      <c r="I12" s="49">
        <f>10+HLOOKUP("AC", Bonus!$B$2:$ZZ$3, 2, FALSE)+G12</f>
        <v>51</v>
      </c>
      <c r="J12" s="50">
        <f>I12-G12-Bonus!H32</f>
        <v>46</v>
      </c>
      <c r="K12" s="51">
        <f>I12-Bonus!H11-Bonus!H12-Bonus!H25-Bonus!H26-Bonus!H20-Bonus!H4</f>
        <v>22</v>
      </c>
      <c r="R12" s="43"/>
    </row>
    <row r="13" spans="2:18" ht="13.5" thickTop="1" x14ac:dyDescent="0.2">
      <c r="B13" s="30" t="s">
        <v>3</v>
      </c>
      <c r="C13" s="27">
        <v>17</v>
      </c>
      <c r="D13" s="18">
        <f>INDEX(Races!$A$2:$AAA$24999, MATCH($C$4,Races!$A$2:$A$24999,0), MATCH($B13&amp;"Base",Races!$A$2:$AAA$2,0))</f>
        <v>27</v>
      </c>
      <c r="E13" s="18">
        <f>HLOOKUP(B13, Bonus!$B$2:$ZZ$3, 2, FALSE)</f>
        <v>5</v>
      </c>
      <c r="F13" s="18">
        <f t="shared" si="1"/>
        <v>32</v>
      </c>
      <c r="G13" s="19">
        <f t="shared" si="2"/>
        <v>11</v>
      </c>
      <c r="I13" s="46"/>
    </row>
    <row r="14" spans="2:18" x14ac:dyDescent="0.2">
      <c r="B14" s="30" t="s">
        <v>2</v>
      </c>
      <c r="C14" s="27">
        <v>12</v>
      </c>
      <c r="D14" s="18">
        <f>INDEX(Races!$A$2:$AAA$24999, MATCH($C$4,Races!$A$2:$A$24999,0), MATCH($B14&amp;"Base",Races!$A$2:$AAA$2,0))</f>
        <v>12</v>
      </c>
      <c r="E14" s="18">
        <f>HLOOKUP(B14, Bonus!$B$2:$ZZ$3, 2, FALSE)</f>
        <v>0</v>
      </c>
      <c r="F14" s="18">
        <f t="shared" si="1"/>
        <v>12</v>
      </c>
      <c r="G14" s="19">
        <f t="shared" si="2"/>
        <v>1</v>
      </c>
      <c r="I14" s="46"/>
    </row>
    <row r="15" spans="2:18" x14ac:dyDescent="0.2">
      <c r="B15" s="30" t="s">
        <v>4</v>
      </c>
      <c r="C15" s="27">
        <v>6</v>
      </c>
      <c r="D15" s="18">
        <f>INDEX(Races!$A$2:$AAA$24999, MATCH($C$4,Races!$A$2:$A$24999,0), MATCH($B15&amp;"Base",Races!$A$2:$AAA$2,0))</f>
        <v>6</v>
      </c>
      <c r="E15" s="18">
        <f>HLOOKUP(B15, Bonus!$B$2:$ZZ$3, 2, FALSE)</f>
        <v>6</v>
      </c>
      <c r="F15" s="18">
        <f t="shared" si="1"/>
        <v>12</v>
      </c>
      <c r="G15" s="19">
        <f t="shared" si="2"/>
        <v>1</v>
      </c>
      <c r="I15" s="46"/>
    </row>
    <row r="16" spans="2:18" ht="13.5" thickBot="1" x14ac:dyDescent="0.25">
      <c r="B16" s="31" t="s">
        <v>5</v>
      </c>
      <c r="C16" s="28">
        <v>12</v>
      </c>
      <c r="D16" s="21">
        <f>INDEX(Races!$A$2:$AAA$24999, MATCH($C$4,Races!$A$2:$A$24999,0), MATCH($B16&amp;"Base",Races!$A$2:$AAA$2,0))</f>
        <v>12</v>
      </c>
      <c r="E16" s="21">
        <f>HLOOKUP(B16, Bonus!$B$2:$ZZ$3, 2, FALSE)</f>
        <v>4</v>
      </c>
      <c r="F16" s="21">
        <f t="shared" si="1"/>
        <v>16</v>
      </c>
      <c r="G16" s="22">
        <f t="shared" si="2"/>
        <v>3</v>
      </c>
      <c r="I16" s="46"/>
    </row>
    <row r="17" spans="2:17" ht="14.25" thickTop="1" thickBot="1" x14ac:dyDescent="0.25"/>
    <row r="18" spans="2:17" ht="14.25" thickTop="1" thickBot="1" x14ac:dyDescent="0.25">
      <c r="B18" s="44" t="s">
        <v>238</v>
      </c>
      <c r="C18" s="56">
        <f>SUM(Bonus!I5:I9)</f>
        <v>13</v>
      </c>
      <c r="D18" s="16" t="s">
        <v>321</v>
      </c>
      <c r="E18" s="56">
        <f>HLOOKUP("Attack", Bonus!$B$2:$ZZ$3, 2, FALSE)+G11</f>
        <v>37</v>
      </c>
      <c r="F18" s="16" t="s">
        <v>322</v>
      </c>
      <c r="G18" s="57">
        <f>HLOOKUP("Attack", Bonus!$B$2:$ZZ$3, 2, FALSE)+G12</f>
        <v>26</v>
      </c>
    </row>
    <row r="19" spans="2:17" ht="14.25" thickTop="1" thickBot="1" x14ac:dyDescent="0.25">
      <c r="B19" s="48" t="s">
        <v>312</v>
      </c>
      <c r="C19" s="23" t="s">
        <v>214</v>
      </c>
      <c r="D19" s="23" t="s">
        <v>307</v>
      </c>
      <c r="E19" s="23" t="s">
        <v>309</v>
      </c>
      <c r="F19" s="23" t="s">
        <v>208</v>
      </c>
      <c r="G19" s="23" t="s">
        <v>238</v>
      </c>
      <c r="H19" s="23" t="s">
        <v>238</v>
      </c>
      <c r="I19" s="23" t="s">
        <v>238</v>
      </c>
      <c r="J19" s="23" t="s">
        <v>238</v>
      </c>
      <c r="K19" s="23" t="s">
        <v>287</v>
      </c>
      <c r="L19" s="23" t="s">
        <v>317</v>
      </c>
      <c r="M19" s="23" t="s">
        <v>318</v>
      </c>
      <c r="N19" s="23" t="s">
        <v>526</v>
      </c>
      <c r="O19" s="25" t="s">
        <v>231</v>
      </c>
    </row>
    <row r="20" spans="2:17" ht="13.5" thickTop="1" x14ac:dyDescent="0.2">
      <c r="B20" s="59" t="s">
        <v>518</v>
      </c>
      <c r="C20" s="60" t="s">
        <v>306</v>
      </c>
      <c r="D20" s="60" t="s">
        <v>527</v>
      </c>
      <c r="E20" s="61" t="b">
        <v>1</v>
      </c>
      <c r="F20" s="61">
        <v>1</v>
      </c>
      <c r="G20" s="56">
        <f>IF(AND($D20="Offhand", HLOOKUP("Offhand Attacks", Bonus!$B$2:$ZZ$3, 2, FALSE) &lt; 1), "N/A", HLOOKUP("Attack", Bonus!$B$2:$ZZ$3, 2, FALSE)+IF($C20="Melee", $G$11, $G$12))</f>
        <v>37</v>
      </c>
      <c r="H20" s="56">
        <f>IF(AND($D20="Offhand", HLOOKUP("Offhand Attacks", Bonus!$B$2:$ZZ$3, 2, FALSE) &lt; 2), "N/A",  IF(AND($C$18-5&gt;0,$E20),G20-5,"N/A"))</f>
        <v>32</v>
      </c>
      <c r="I20" s="56">
        <f>IF(AND($D20="Offhand", HLOOKUP("Offhand Attacks", Bonus!$B$2:$ZZ$3, 2, FALSE) &lt; 3), "N/A", IF(AND($C$18-10&gt;0,$E20),H20-5,"N/A"))</f>
        <v>27</v>
      </c>
      <c r="J20" s="56" t="str">
        <f>IF(AND($D20="Offhand", HLOOKUP("Offhand Attacks", Bonus!$B$2:$ZZ$3, 2, FALSE) &lt; 4), "N/A", IF(AND($C$18-15&gt;0,$E20),I20-5,"N/A"))</f>
        <v>N/A</v>
      </c>
      <c r="K20" s="56" t="str">
        <f>VLOOKUP(VLOOKUP($B20, Charts!$A$27:$I$98, 4, FALSE), Charts!$L$27:$Q$41, 1+VLOOKUP($C$5, Charts!$L$9:$M$17, 2, FALSE) - VLOOKUP("Medium", Charts!$L$9:$M$17, 2, FALSE) +$F20, FALSE)</f>
        <v>4d6</v>
      </c>
      <c r="L20" s="66">
        <f>IF($D20="Offhand", TRUNC($G$11/2), IF($D20="Two Handed", TRUNC($G$11 * 1.5), $G$11))+Bonus!$J$3</f>
        <v>26</v>
      </c>
      <c r="M20" s="56" t="str">
        <f>VLOOKUP($B20, Charts!$A$27:$I$98,  IF(HLOOKUP("Keen", Bonus!$B$2:$ZZ$3, 2, FALSE) &gt; 0, 6, 5), FALSE)</f>
        <v>19-20/×2</v>
      </c>
      <c r="N20" s="65" t="str">
        <f>VLOOKUP($B20, Charts!$A$27:$I$98, 9, FALSE)</f>
        <v>Piercing</v>
      </c>
      <c r="O20" s="63">
        <f>VLOOKUP($C$5, Charts!$L$9:$S$17, 5, FALSE)+IF(VLOOKUP($B20, Charts!$A$27:$M$98, 10, FALSE) = "Normal", 0, VLOOKUP(VLOOKUP($C$5, Charts!$L$9:$S$17, 2, FALSE)+$F20, Charts!$M$9:$P$17,4,FALSE))</f>
        <v>35</v>
      </c>
    </row>
    <row r="21" spans="2:17" x14ac:dyDescent="0.2">
      <c r="B21" s="52" t="s">
        <v>518</v>
      </c>
      <c r="C21" s="54" t="s">
        <v>306</v>
      </c>
      <c r="D21" s="54" t="s">
        <v>310</v>
      </c>
      <c r="E21" s="17" t="b">
        <v>1</v>
      </c>
      <c r="F21" s="17">
        <v>0</v>
      </c>
      <c r="G21" s="58">
        <f>IF(AND($D21="Offhand", HLOOKUP("Offhand Attacks", Bonus!$B$2:$ZZ$3, 2, FALSE) &lt; 1), "N/A", HLOOKUP("Attack", Bonus!$B$2:$ZZ$3, 2, FALSE)+IF($C21="Melee", $G$11, $G$12))</f>
        <v>37</v>
      </c>
      <c r="H21" s="58">
        <f>IF(AND($D21="Offhand", HLOOKUP("Offhand Attacks", Bonus!$B$2:$ZZ$3, 2, FALSE) &lt; 2), "N/A",  IF(AND($C$18-5&gt;0,$E21),G21-5,"N/A"))</f>
        <v>32</v>
      </c>
      <c r="I21" s="58">
        <f>IF(AND($D21="Offhand", HLOOKUP("Offhand Attacks", Bonus!$B$2:$ZZ$3, 2, FALSE) &lt; 3), "N/A", IF(AND($C$18-10&gt;0,$E21),H21-5,"N/A"))</f>
        <v>27</v>
      </c>
      <c r="J21" s="58" t="str">
        <f>IF(AND($D21="Offhand", HLOOKUP("Offhand Attacks", Bonus!$B$2:$ZZ$3, 2, FALSE) &lt; 4), "N/A", IF(AND($C$18-15&gt;0,$E21),I21-5,"N/A"))</f>
        <v>N/A</v>
      </c>
      <c r="K21" s="58" t="str">
        <f>VLOOKUP(VLOOKUP($B21, Charts!$A$27:$I$98, 4, FALSE), Charts!$L$27:$Q$41, 1+VLOOKUP($C$5, Charts!$L$9:$M$17, 2, FALSE) - VLOOKUP("Medium", Charts!$L$9:$M$17, 2, FALSE) +$F21, FALSE)</f>
        <v>3d6</v>
      </c>
      <c r="L21" s="67">
        <f>IF($D21="Offhand", TRUNC($G$11/2), IF($D21="Two Handed", TRUNC($G$11 * 1.5), $G$11))+Bonus!$J$3</f>
        <v>19</v>
      </c>
      <c r="M21" s="58" t="str">
        <f>VLOOKUP($B21, Charts!$A$27:$I$98,  IF(HLOOKUP("Keen", Bonus!$B$2:$ZZ$3, 2, FALSE) &gt; 0, 6, 5), FALSE)</f>
        <v>19-20/×2</v>
      </c>
      <c r="N21" s="18" t="str">
        <f>VLOOKUP($B21, Charts!$A$27:$I$98, 9, FALSE)</f>
        <v>Piercing</v>
      </c>
      <c r="O21" s="63">
        <f>VLOOKUP($C$5, Charts!$L$9:$S$17, 5, FALSE)+IF(VLOOKUP($B21, Charts!$A$27:$M$98, 10, FALSE) = "Normal", 0, VLOOKUP(VLOOKUP($C$5, Charts!$L$9:$S$17, 2, FALSE)+$F21, Charts!$M$9:$P$17,4,FALSE))</f>
        <v>30</v>
      </c>
    </row>
    <row r="22" spans="2:17" x14ac:dyDescent="0.2">
      <c r="B22" s="52" t="s">
        <v>518</v>
      </c>
      <c r="C22" s="54" t="s">
        <v>306</v>
      </c>
      <c r="D22" s="54" t="s">
        <v>311</v>
      </c>
      <c r="E22" s="17" t="b">
        <v>1</v>
      </c>
      <c r="F22" s="17">
        <v>0</v>
      </c>
      <c r="G22" s="58">
        <f>IF(AND($D22="Offhand", HLOOKUP("Offhand Attacks", Bonus!$B$2:$ZZ$3, 2, FALSE) &lt; 1), "N/A", HLOOKUP("Attack", Bonus!$B$2:$ZZ$3, 2, FALSE)+IF($C22="Melee", $G$11, $G$12))</f>
        <v>37</v>
      </c>
      <c r="H22" s="58">
        <f>IF(AND($D22="Offhand", HLOOKUP("Offhand Attacks", Bonus!$B$2:$ZZ$3, 2, FALSE) &lt; 2), "N/A",  IF(AND($C$18-5&gt;0,$E22),G22-5,"N/A"))</f>
        <v>32</v>
      </c>
      <c r="I22" s="58" t="str">
        <f>IF(AND($D22="Offhand", HLOOKUP("Offhand Attacks", Bonus!$B$2:$ZZ$3, 2, FALSE) &lt; 3), "N/A", IF(AND($C$18-10&gt;0,$E22),H22-5,"N/A"))</f>
        <v>N/A</v>
      </c>
      <c r="J22" s="58" t="str">
        <f>IF(AND($D22="Offhand", HLOOKUP("Offhand Attacks", Bonus!$B$2:$ZZ$3, 2, FALSE) &lt; 4), "N/A", IF(AND($C$18-15&gt;0,$E22),I22-5,"N/A"))</f>
        <v>N/A</v>
      </c>
      <c r="K22" s="58" t="str">
        <f>VLOOKUP(VLOOKUP($B22, Charts!$A$27:$I$98, 4, FALSE), Charts!$L$27:$Q$41, 1+VLOOKUP($C$5, Charts!$L$9:$M$17, 2, FALSE) - VLOOKUP("Medium", Charts!$L$9:$M$17, 2, FALSE) +$F22, FALSE)</f>
        <v>3d6</v>
      </c>
      <c r="L22" s="67">
        <f>IF($D22="Offhand", TRUNC($G$11/2), IF($D22="Two Handed", TRUNC($G$11 * 1.5), $G$11))+Bonus!$J$3</f>
        <v>12</v>
      </c>
      <c r="M22" s="58" t="str">
        <f>VLOOKUP($B22, Charts!$A$27:$I$98,  IF(HLOOKUP("Keen", Bonus!$B$2:$ZZ$3, 2, FALSE) &gt; 0, 6, 5), FALSE)</f>
        <v>19-20/×2</v>
      </c>
      <c r="N22" s="18" t="str">
        <f>VLOOKUP($B22, Charts!$A$27:$I$98,9, FALSE)</f>
        <v>Piercing</v>
      </c>
      <c r="O22" s="63">
        <f>VLOOKUP($C$5, Charts!$L$9:$S$17, 5, FALSE)+IF(VLOOKUP($B22, Charts!$A$27:$M$98, 10, FALSE) = "Normal", 0, VLOOKUP(VLOOKUP($C$5, Charts!$L$9:$S$17, 2, FALSE)+$F22, Charts!$M$9:$P$17,4,FALSE))</f>
        <v>30</v>
      </c>
    </row>
    <row r="23" spans="2:17" x14ac:dyDescent="0.2">
      <c r="B23" s="52" t="s">
        <v>313</v>
      </c>
      <c r="C23" s="54" t="s">
        <v>306</v>
      </c>
      <c r="D23" s="54" t="s">
        <v>310</v>
      </c>
      <c r="E23" s="17" t="b">
        <v>1</v>
      </c>
      <c r="F23" s="17">
        <v>1</v>
      </c>
      <c r="G23" s="58">
        <f>IF(AND($D23="Offhand", HLOOKUP("Offhand Attacks", Bonus!$B$2:$ZZ$3, 2, FALSE) &lt; 1), "N/A", HLOOKUP("Attack", Bonus!$B$2:$ZZ$3, 2, FALSE)+IF($C23="Melee", $G$11, $G$12))</f>
        <v>37</v>
      </c>
      <c r="H23" s="58">
        <f>IF(AND($D23="Offhand", HLOOKUP("Offhand Attacks", Bonus!$B$2:$ZZ$3, 2, FALSE) &lt; 2), "N/A",  IF(AND($C$18-5&gt;0,$E23),G23-5,"N/A"))</f>
        <v>32</v>
      </c>
      <c r="I23" s="58">
        <f>IF(AND($D23="Offhand", HLOOKUP("Offhand Attacks", Bonus!$B$2:$ZZ$3, 2, FALSE) &lt; 3), "N/A", IF(AND($C$18-10&gt;0,$E23),H23-5,"N/A"))</f>
        <v>27</v>
      </c>
      <c r="J23" s="58" t="str">
        <f>IF(AND($D23="Offhand", HLOOKUP("Offhand Attacks", Bonus!$B$2:$ZZ$3, 2, FALSE) &lt; 4), "N/A", IF(AND($C$18-15&gt;0,$E23),I23-5,"N/A"))</f>
        <v>N/A</v>
      </c>
      <c r="K23" s="58" t="str">
        <f>VLOOKUP(VLOOKUP($B23, Charts!$A$27:$I$98, 4, FALSE), Charts!$L$27:$Q$41, 1+VLOOKUP($C$5, Charts!$L$9:$M$17, 2, FALSE) - VLOOKUP("Medium", Charts!$L$9:$M$17, 2, FALSE) +$F23, FALSE)</f>
        <v>4d6</v>
      </c>
      <c r="L23" s="67">
        <f>IF($D23="Offhand", TRUNC($G$11/2), IF($D23="Two Handed", TRUNC($G$11 * 1.5), $G$11))+Bonus!$J$3</f>
        <v>19</v>
      </c>
      <c r="M23" s="58" t="str">
        <f>VLOOKUP($B23, Charts!$A$27:$I$98,  IF(HLOOKUP("Keen", Bonus!$B$2:$ZZ$3, 2, FALSE) &gt; 0, 6, 5), FALSE)</f>
        <v>17-20/×2</v>
      </c>
      <c r="N23" s="18" t="str">
        <f>VLOOKUP($B23, Charts!$A$27:$I$98, 9, FALSE)</f>
        <v>Slashing</v>
      </c>
      <c r="O23" s="63">
        <f>VLOOKUP($C$5, Charts!$L$9:$S$17, 5, FALSE)+IF(VLOOKUP($B23, Charts!$A$27:$M$98, 10, FALSE) = "Normal", 0, VLOOKUP(VLOOKUP($C$5, Charts!$L$9:$S$17, 2, FALSE)+$F23, Charts!$M$9:$P$17,4,FALSE))</f>
        <v>15</v>
      </c>
    </row>
    <row r="24" spans="2:17" x14ac:dyDescent="0.2">
      <c r="B24" s="52" t="s">
        <v>313</v>
      </c>
      <c r="C24" s="54" t="s">
        <v>306</v>
      </c>
      <c r="D24" s="54" t="s">
        <v>311</v>
      </c>
      <c r="E24" s="17" t="b">
        <v>1</v>
      </c>
      <c r="F24" s="17">
        <v>1</v>
      </c>
      <c r="G24" s="58">
        <f>IF(AND($D24="Offhand", HLOOKUP("Offhand Attacks", Bonus!$B$2:$ZZ$3, 2, FALSE) &lt; 1), "N/A", HLOOKUP("Attack", Bonus!$B$2:$ZZ$3, 2, FALSE)+IF($C24="Melee", $G$11, $G$12))</f>
        <v>37</v>
      </c>
      <c r="H24" s="58">
        <f>IF(AND($D24="Offhand", HLOOKUP("Offhand Attacks", Bonus!$B$2:$ZZ$3, 2, FALSE) &lt; 2), "N/A",  IF(AND($C$18-5&gt;0,$E24),G24-5,"N/A"))</f>
        <v>32</v>
      </c>
      <c r="I24" s="58" t="str">
        <f>IF(AND($D24="Offhand", HLOOKUP("Offhand Attacks", Bonus!$B$2:$ZZ$3, 2, FALSE) &lt; 3), "N/A", IF(AND($C$18-10&gt;0,$E24),H24-5,"N/A"))</f>
        <v>N/A</v>
      </c>
      <c r="J24" s="58" t="str">
        <f>IF(AND($D24="Offhand", HLOOKUP("Offhand Attacks", Bonus!$B$2:$ZZ$3, 2, FALSE) &lt; 4), "N/A", IF(AND($C$18-15&gt;0,$E24),I24-5,"N/A"))</f>
        <v>N/A</v>
      </c>
      <c r="K24" s="58" t="str">
        <f>VLOOKUP(VLOOKUP($B24, Charts!$A$27:$I$98, 4, FALSE), Charts!$L$27:$Q$41, 1+VLOOKUP($C$5, Charts!$L$9:$M$17, 2, FALSE) - VLOOKUP("Medium", Charts!$L$9:$M$17, 2, FALSE) +$F24, FALSE)</f>
        <v>4d6</v>
      </c>
      <c r="L24" s="67">
        <f>IF($D24="Offhand", TRUNC($G$11/2), IF($D24="Two Handed", TRUNC($G$11 * 1.5), $G$11))+Bonus!$J$3</f>
        <v>12</v>
      </c>
      <c r="M24" s="58" t="str">
        <f>VLOOKUP($B24, Charts!$A$27:$I$98,  IF(HLOOKUP("Keen", Bonus!$B$2:$ZZ$3, 2, FALSE) &gt; 0, 6, 5), FALSE)</f>
        <v>17-20/×2</v>
      </c>
      <c r="N24" s="18" t="str">
        <f>VLOOKUP($B24, Charts!$A$27:$I$98,9, FALSE)</f>
        <v>Slashing</v>
      </c>
      <c r="O24" s="63">
        <f>VLOOKUP($C$5, Charts!$L$9:$S$17, 5, FALSE)+IF(VLOOKUP($B24, Charts!$A$27:$M$98, 10, FALSE) = "Normal", 0, VLOOKUP(VLOOKUP($C$5, Charts!$L$9:$S$17, 2, FALSE)+$F24, Charts!$M$9:$P$17,4,FALSE))</f>
        <v>15</v>
      </c>
    </row>
    <row r="25" spans="2:17" x14ac:dyDescent="0.2">
      <c r="B25" s="52" t="s">
        <v>313</v>
      </c>
      <c r="C25" s="54" t="s">
        <v>306</v>
      </c>
      <c r="D25" s="54" t="s">
        <v>308</v>
      </c>
      <c r="E25" s="17" t="b">
        <v>0</v>
      </c>
      <c r="F25" s="17">
        <v>1</v>
      </c>
      <c r="G25" s="58">
        <f>IF(AND($D25="Offhand", HLOOKUP("Offhand Attacks", Bonus!$B$2:$ZZ$3, 2, FALSE) &lt; 1), "N/A", HLOOKUP("Attack", Bonus!$B$2:$ZZ$3, 2, FALSE)+IF($C25="Melee", $G$11, $G$12))</f>
        <v>37</v>
      </c>
      <c r="H25" s="58" t="str">
        <f>IF(AND($D25="Offhand", HLOOKUP("Offhand Attacks", Bonus!$B$2:$ZZ$3, 2, FALSE) &lt; 2), "N/A",  IF(AND($C$18-5&gt;0,$E25),G25-5,"N/A"))</f>
        <v>N/A</v>
      </c>
      <c r="I25" s="58" t="str">
        <f>IF(AND($D25="Offhand", HLOOKUP("Offhand Attacks", Bonus!$B$2:$ZZ$3, 2, FALSE) &lt; 3), "N/A", IF(AND($C$18-10&gt;0,$E25),H25-5,"N/A"))</f>
        <v>N/A</v>
      </c>
      <c r="J25" s="58" t="str">
        <f>IF(AND($D25="Offhand", HLOOKUP("Offhand Attacks", Bonus!$B$2:$ZZ$3, 2, FALSE) &lt; 4), "N/A", IF(AND($C$18-15&gt;0,$E25),I25-5,"N/A"))</f>
        <v>N/A</v>
      </c>
      <c r="K25" s="58" t="str">
        <f>VLOOKUP(VLOOKUP($B25, Charts!$A$27:$I$98, 4, FALSE), Charts!$L$27:$Q$41, 1+VLOOKUP($C$5, Charts!$L$9:$M$17, 2, FALSE) - VLOOKUP("Medium", Charts!$L$9:$M$17, 2, FALSE) +$F25, FALSE)</f>
        <v>4d6</v>
      </c>
      <c r="L25" s="67">
        <f>IF($D25="Offhand", TRUNC($G$11/2), IF($D25="Two Handed", TRUNC($G$11 * 1.5), $G$11))+Bonus!$J$3</f>
        <v>19</v>
      </c>
      <c r="M25" s="58" t="str">
        <f>VLOOKUP($B25, Charts!$A$27:$I$98,  IF(HLOOKUP("Keen", Bonus!$B$2:$ZZ$3, 2, FALSE) &gt; 0, 6, 5), FALSE)</f>
        <v>17-20/×2</v>
      </c>
      <c r="N25" s="18" t="str">
        <f>VLOOKUP($B25, Charts!$A$27:$I$98, 9, FALSE)</f>
        <v>Slashing</v>
      </c>
      <c r="O25" s="63">
        <f>VLOOKUP($C$5, Charts!$L$9:$S$17, 5, FALSE)+IF(VLOOKUP($B25, Charts!$A$27:$M$98, 10, FALSE) = "Normal", 0, VLOOKUP(VLOOKUP($C$5, Charts!$L$9:$S$17, 2, FALSE)+$F25, Charts!$M$9:$P$17,4,FALSE))</f>
        <v>15</v>
      </c>
    </row>
    <row r="26" spans="2:17" ht="13.5" thickBot="1" x14ac:dyDescent="0.25">
      <c r="B26" s="53" t="s">
        <v>313</v>
      </c>
      <c r="C26" s="55" t="s">
        <v>306</v>
      </c>
      <c r="D26" s="55" t="s">
        <v>308</v>
      </c>
      <c r="E26" s="20" t="b">
        <v>1</v>
      </c>
      <c r="F26" s="20">
        <v>1</v>
      </c>
      <c r="G26" s="47">
        <f>IF(AND($D26="Offhand", HLOOKUP("Offhand Attacks", Bonus!$B$2:$ZZ$3, 2, FALSE) &lt; 1), "N/A", HLOOKUP("Attack", Bonus!$B$2:$ZZ$3, 2, FALSE)+IF($C26="Melee", $G$11, $G$12))</f>
        <v>37</v>
      </c>
      <c r="H26" s="47">
        <f>IF(AND($D26="Offhand", HLOOKUP("Offhand Attacks", Bonus!$B$2:$ZZ$3, 2, FALSE) &lt; 2), "N/A",  IF(AND($C$18-5&gt;0,$E26),G26-5,"N/A"))</f>
        <v>32</v>
      </c>
      <c r="I26" s="47">
        <f>IF(AND($D26="Offhand", HLOOKUP("Offhand Attacks", Bonus!$B$2:$ZZ$3, 2, FALSE) &lt; 3), "N/A", IF(AND($C$18-10&gt;0,$E26),H26-5,"N/A"))</f>
        <v>27</v>
      </c>
      <c r="J26" s="47" t="str">
        <f>IF(AND($D26="Offhand", HLOOKUP("Offhand Attacks", Bonus!$B$2:$ZZ$3, 2, FALSE) &lt; 4), "N/A", IF(AND($C$18-15&gt;0,$E26),I26-5,"N/A"))</f>
        <v>N/A</v>
      </c>
      <c r="K26" s="47" t="str">
        <f>VLOOKUP(VLOOKUP($B26, Charts!$A$27:$I$98, 4, FALSE), Charts!$L$27:$Q$41, 1+VLOOKUP($C$5, Charts!$L$9:$M$17, 2, FALSE) - VLOOKUP("Medium", Charts!$L$9:$M$17, 2, FALSE) +$F26, FALSE)</f>
        <v>4d6</v>
      </c>
      <c r="L26" s="68">
        <f>IF($D26="Offhand", TRUNC($G$11/2), IF($D26="Two Handed", TRUNC($G$11 * 1.5), $G$11))+Bonus!$J$3</f>
        <v>19</v>
      </c>
      <c r="M26" s="47" t="str">
        <f>VLOOKUP($B26, Charts!$A$27:$I$98,  IF(HLOOKUP("Keen", Bonus!$B$2:$ZZ$3, 2, FALSE) &gt; 0, 6, 5), FALSE)</f>
        <v>17-20/×2</v>
      </c>
      <c r="N26" s="21" t="str">
        <f>VLOOKUP($B26, Charts!$A$27:$I$98, 9, FALSE)</f>
        <v>Slashing</v>
      </c>
      <c r="O26" s="64">
        <f>VLOOKUP($C$5, Charts!$L$9:$S$17, 5, FALSE)+IF(VLOOKUP($B26, Charts!$A$27:$M$98, 10, FALSE) = "Normal", 0, VLOOKUP(VLOOKUP($C$5, Charts!$L$9:$S$17, 2, FALSE)+$F26, Charts!$M$9:$P$17,4,FALSE))</f>
        <v>15</v>
      </c>
    </row>
    <row r="27" spans="2:17" ht="13.5" thickTop="1" x14ac:dyDescent="0.2">
      <c r="Q27" t="str">
        <f t="array" ref="Q27">IF('Active Spells'!A4:A64=1, 'Active Spells'!J4:J64, "")</f>
        <v/>
      </c>
    </row>
    <row r="28" spans="2:17" x14ac:dyDescent="0.2">
      <c r="B28" s="69" t="str">
        <f>StringConcat(",", Charts!$P$21:$P$22)</f>
        <v>0, Extra attack to full attack, Immune to Crits, Minimum damage from falling, 0, regen 4/rd - only hurt by fire and acid, Winged = 100' Horns = 1d8+1.5(str bonus), 0, attacks, saves, still checks - Fear Immunity - 20 temp HP, Target immune to death spells and effects, energy drain, negative energy effects, and undead special attacks that do ability damage, drain or disease.  Ghost touch property., d6+12 divine dmg to melee attacker who hit you without reach. Take half save for none vs. fire attacks, DR 15/-  Expires after absorbing 150 points, 0, Hide bonus, 260 points versus fire 10% added to health,0, 0, 0, 0, 0, 0, 0, 0, 0, 0, 0, 0, 0, 0, 0, 0, 0, 0, 0,  , 0, 0, 0, 0, 0, 0, 0, 0, 0, 0, 0, 0, 0, 0, 0</v>
      </c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1"/>
      <c r="P28" s="1"/>
    </row>
    <row r="29" spans="2:17" x14ac:dyDescent="0.2"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P29" s="1"/>
    </row>
    <row r="30" spans="2:17" x14ac:dyDescent="0.2">
      <c r="B30" s="70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P30" s="1"/>
    </row>
    <row r="31" spans="2:17" x14ac:dyDescent="0.2">
      <c r="B31" s="70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P31" s="1"/>
    </row>
    <row r="32" spans="2:17" x14ac:dyDescent="0.2"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</row>
    <row r="33" spans="2:14" x14ac:dyDescent="0.2">
      <c r="B33" s="70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</row>
    <row r="34" spans="2:14" x14ac:dyDescent="0.2"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</row>
    <row r="35" spans="2:14" x14ac:dyDescent="0.2">
      <c r="B35" s="70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</row>
    <row r="36" spans="2:14" x14ac:dyDescent="0.2">
      <c r="B36" s="70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70"/>
    </row>
    <row r="37" spans="2:14" x14ac:dyDescent="0.2"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</row>
    <row r="38" spans="2:14" x14ac:dyDescent="0.2"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</row>
  </sheetData>
  <mergeCells count="1">
    <mergeCell ref="B28:N38"/>
  </mergeCells>
  <phoneticPr fontId="1" type="noConversion"/>
  <pageMargins left="0.75" right="0.75" top="1" bottom="1" header="0.5" footer="0.5"/>
  <pageSetup orientation="portrait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Classes!$A$3:$A$29</xm:f>
          </x14:formula1>
          <xm:sqref>F3:F7</xm:sqref>
        </x14:dataValidation>
        <x14:dataValidation type="list" allowBlank="1" showInputMessage="1" showErrorMessage="1">
          <x14:formula1>
            <xm:f>Races!$A$3:$A$9999</xm:f>
          </x14:formula1>
          <xm:sqref>C4</xm:sqref>
        </x14:dataValidation>
        <x14:dataValidation type="list" allowBlank="1" showInputMessage="1" showErrorMessage="1">
          <x14:formula1>
            <xm:f>Charts!$M$21:$M$22</xm:f>
          </x14:formula1>
          <xm:sqref>E20:E26</xm:sqref>
        </x14:dataValidation>
        <x14:dataValidation type="list" allowBlank="1" showInputMessage="1" showErrorMessage="1">
          <x14:formula1>
            <xm:f>Charts!$N$21:$N$22</xm:f>
          </x14:formula1>
          <xm:sqref>C20:C26</xm:sqref>
        </x14:dataValidation>
        <x14:dataValidation type="list" allowBlank="1" showInputMessage="1" showErrorMessage="1">
          <x14:formula1>
            <xm:f>Charts!$A$27:$A$98</xm:f>
          </x14:formula1>
          <xm:sqref>B20:B26</xm:sqref>
        </x14:dataValidation>
        <x14:dataValidation type="list" allowBlank="1" showInputMessage="1" showErrorMessage="1">
          <x14:formula1>
            <xm:f>Charts!$L$21:$L$24</xm:f>
          </x14:formula1>
          <xm:sqref>D20:D26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8"/>
  <sheetViews>
    <sheetView workbookViewId="0">
      <pane ySplit="1" topLeftCell="A20" activePane="bottomLeft" state="frozen"/>
      <selection pane="bottomLeft" activeCell="K53" sqref="K53"/>
    </sheetView>
  </sheetViews>
  <sheetFormatPr defaultColWidth="8.85546875" defaultRowHeight="12.75" x14ac:dyDescent="0.2"/>
  <cols>
    <col min="1" max="1" width="4.7109375" customWidth="1"/>
    <col min="2" max="2" width="3.42578125" customWidth="1"/>
    <col min="3" max="3" width="3.7109375" customWidth="1"/>
    <col min="4" max="4" width="21.42578125" customWidth="1"/>
    <col min="6" max="6" width="6.28515625" customWidth="1"/>
    <col min="7" max="7" width="7.140625" customWidth="1"/>
    <col min="8" max="8" width="10.42578125" customWidth="1"/>
    <col min="9" max="9" width="7.7109375" customWidth="1"/>
    <col min="10" max="10" width="3.7109375" customWidth="1"/>
    <col min="11" max="11" width="8.28515625" customWidth="1"/>
    <col min="12" max="12" width="72.28515625" customWidth="1"/>
  </cols>
  <sheetData>
    <row r="1" spans="1:12" x14ac:dyDescent="0.2">
      <c r="A1" s="2" t="s">
        <v>91</v>
      </c>
      <c r="B1" s="2" t="s">
        <v>92</v>
      </c>
      <c r="C1" s="2" t="s">
        <v>98</v>
      </c>
      <c r="D1" s="2" t="s">
        <v>90</v>
      </c>
      <c r="E1" s="2" t="s">
        <v>48</v>
      </c>
      <c r="F1" s="2" t="s">
        <v>94</v>
      </c>
      <c r="G1" s="2" t="s">
        <v>8</v>
      </c>
      <c r="H1" s="2" t="s">
        <v>93</v>
      </c>
      <c r="I1" s="2" t="s">
        <v>6</v>
      </c>
      <c r="J1" s="2" t="s">
        <v>18</v>
      </c>
      <c r="K1" s="3" t="s">
        <v>155</v>
      </c>
      <c r="L1" s="2" t="s">
        <v>23</v>
      </c>
    </row>
    <row r="2" spans="1:12" x14ac:dyDescent="0.2">
      <c r="A2" s="1" t="s">
        <v>74</v>
      </c>
      <c r="C2">
        <v>1</v>
      </c>
      <c r="D2" t="s">
        <v>95</v>
      </c>
      <c r="F2">
        <f>Character!$G$14</f>
        <v>1</v>
      </c>
      <c r="G2">
        <f>$E$67</f>
        <v>6</v>
      </c>
      <c r="I2">
        <f t="shared" ref="I2:I33" si="0">SUM(E2:H2)</f>
        <v>7</v>
      </c>
      <c r="J2">
        <v>0</v>
      </c>
      <c r="K2">
        <f>I2-$E$61*J2</f>
        <v>7</v>
      </c>
      <c r="L2" s="1"/>
    </row>
    <row r="3" spans="1:12" x14ac:dyDescent="0.2">
      <c r="C3">
        <v>0</v>
      </c>
      <c r="D3" t="s">
        <v>96</v>
      </c>
      <c r="F3">
        <f>Character!$G$16</f>
        <v>3</v>
      </c>
      <c r="G3">
        <f>$E$67</f>
        <v>6</v>
      </c>
      <c r="H3">
        <f>IF(E7&gt;=5,2,0)</f>
        <v>0</v>
      </c>
      <c r="I3">
        <f t="shared" si="0"/>
        <v>9</v>
      </c>
      <c r="J3">
        <v>0</v>
      </c>
      <c r="K3">
        <f t="shared" ref="K3:K59" si="1">I3-$E$61*J3</f>
        <v>9</v>
      </c>
    </row>
    <row r="4" spans="1:12" x14ac:dyDescent="0.2">
      <c r="B4">
        <v>1</v>
      </c>
      <c r="C4">
        <v>1</v>
      </c>
      <c r="D4" t="s">
        <v>97</v>
      </c>
      <c r="E4">
        <v>1</v>
      </c>
      <c r="F4">
        <f>Character!$G$12</f>
        <v>3</v>
      </c>
      <c r="G4">
        <f>Equipment!G33+$E$67</f>
        <v>8</v>
      </c>
      <c r="H4">
        <f>IF(E56&gt;=5,2,0)</f>
        <v>2</v>
      </c>
      <c r="I4">
        <f t="shared" si="0"/>
        <v>14</v>
      </c>
      <c r="J4">
        <v>1</v>
      </c>
      <c r="K4">
        <f t="shared" si="1"/>
        <v>13</v>
      </c>
    </row>
    <row r="5" spans="1:12" x14ac:dyDescent="0.2">
      <c r="B5" s="1" t="s">
        <v>74</v>
      </c>
      <c r="C5">
        <v>1</v>
      </c>
      <c r="D5" s="1" t="s">
        <v>99</v>
      </c>
      <c r="F5">
        <f>Character!$G$14</f>
        <v>1</v>
      </c>
      <c r="G5">
        <f t="shared" ref="G5:G17" si="2">$E$67</f>
        <v>6</v>
      </c>
      <c r="I5">
        <f t="shared" si="0"/>
        <v>7</v>
      </c>
      <c r="J5">
        <v>0</v>
      </c>
      <c r="K5">
        <f t="shared" si="1"/>
        <v>7</v>
      </c>
    </row>
    <row r="6" spans="1:12" x14ac:dyDescent="0.2">
      <c r="A6">
        <v>1</v>
      </c>
      <c r="B6">
        <v>1</v>
      </c>
      <c r="C6">
        <v>1</v>
      </c>
      <c r="D6" s="1" t="s">
        <v>100</v>
      </c>
      <c r="F6">
        <f>Character!$G$16</f>
        <v>3</v>
      </c>
      <c r="G6">
        <f t="shared" si="2"/>
        <v>6</v>
      </c>
      <c r="I6">
        <f t="shared" si="0"/>
        <v>9</v>
      </c>
      <c r="J6">
        <v>1</v>
      </c>
      <c r="K6">
        <f t="shared" si="1"/>
        <v>8</v>
      </c>
    </row>
    <row r="7" spans="1:12" x14ac:dyDescent="0.2">
      <c r="A7">
        <v>1</v>
      </c>
      <c r="C7">
        <v>1</v>
      </c>
      <c r="D7" s="1" t="s">
        <v>101</v>
      </c>
      <c r="F7">
        <f>Character!$G$16</f>
        <v>3</v>
      </c>
      <c r="G7">
        <f t="shared" si="2"/>
        <v>6</v>
      </c>
      <c r="I7">
        <f t="shared" si="0"/>
        <v>9</v>
      </c>
      <c r="J7">
        <v>0</v>
      </c>
      <c r="K7">
        <f t="shared" si="1"/>
        <v>9</v>
      </c>
    </row>
    <row r="8" spans="1:12" x14ac:dyDescent="0.2">
      <c r="A8">
        <v>1</v>
      </c>
      <c r="B8">
        <v>1</v>
      </c>
      <c r="C8">
        <v>1</v>
      </c>
      <c r="D8" s="1" t="s">
        <v>123</v>
      </c>
      <c r="F8">
        <f>Character!$G$15</f>
        <v>1</v>
      </c>
      <c r="G8">
        <f t="shared" si="2"/>
        <v>6</v>
      </c>
      <c r="I8">
        <f t="shared" si="0"/>
        <v>7</v>
      </c>
      <c r="J8">
        <v>0</v>
      </c>
      <c r="K8">
        <f t="shared" si="1"/>
        <v>7</v>
      </c>
    </row>
    <row r="9" spans="1:12" x14ac:dyDescent="0.2">
      <c r="C9">
        <v>0</v>
      </c>
      <c r="D9" s="1" t="s">
        <v>102</v>
      </c>
      <c r="F9">
        <f>Character!$G$12</f>
        <v>3</v>
      </c>
      <c r="G9">
        <f t="shared" si="2"/>
        <v>6</v>
      </c>
      <c r="I9">
        <f t="shared" si="0"/>
        <v>9</v>
      </c>
      <c r="J9">
        <v>0</v>
      </c>
      <c r="K9">
        <f t="shared" si="1"/>
        <v>9</v>
      </c>
    </row>
    <row r="10" spans="1:12" x14ac:dyDescent="0.2">
      <c r="C10">
        <v>1</v>
      </c>
      <c r="D10" s="1" t="s">
        <v>103</v>
      </c>
      <c r="F10">
        <f>Character!$G$16</f>
        <v>3</v>
      </c>
      <c r="G10">
        <f t="shared" si="2"/>
        <v>6</v>
      </c>
      <c r="H10">
        <f>IF(E5&gt;=5,2,0)+IF(E28&gt;=5,2,0)+IF(E50&gt;=5,2,0)</f>
        <v>0</v>
      </c>
      <c r="I10">
        <f t="shared" si="0"/>
        <v>9</v>
      </c>
      <c r="J10">
        <v>0</v>
      </c>
      <c r="K10">
        <f t="shared" si="1"/>
        <v>9</v>
      </c>
    </row>
    <row r="11" spans="1:12" x14ac:dyDescent="0.2">
      <c r="C11">
        <v>0</v>
      </c>
      <c r="D11" s="1" t="s">
        <v>104</v>
      </c>
      <c r="F11">
        <f>Character!$G$11</f>
        <v>14</v>
      </c>
      <c r="G11">
        <f t="shared" si="2"/>
        <v>6</v>
      </c>
      <c r="I11">
        <f t="shared" si="0"/>
        <v>20</v>
      </c>
      <c r="J11">
        <v>0</v>
      </c>
      <c r="K11">
        <f t="shared" si="1"/>
        <v>20</v>
      </c>
    </row>
    <row r="12" spans="1:12" x14ac:dyDescent="0.2">
      <c r="C12">
        <v>1</v>
      </c>
      <c r="D12" s="1" t="s">
        <v>105</v>
      </c>
      <c r="F12">
        <f>Character!$G$14</f>
        <v>1</v>
      </c>
      <c r="G12">
        <f t="shared" si="2"/>
        <v>6</v>
      </c>
      <c r="I12">
        <f t="shared" si="0"/>
        <v>7</v>
      </c>
      <c r="J12">
        <v>0</v>
      </c>
      <c r="K12">
        <f t="shared" si="1"/>
        <v>7</v>
      </c>
      <c r="L12" s="1"/>
    </row>
    <row r="13" spans="1:12" x14ac:dyDescent="0.2">
      <c r="C13">
        <v>1</v>
      </c>
      <c r="D13" s="1" t="s">
        <v>106</v>
      </c>
      <c r="F13">
        <f>Character!$G$14</f>
        <v>1</v>
      </c>
      <c r="G13">
        <f t="shared" si="2"/>
        <v>6</v>
      </c>
      <c r="I13">
        <f t="shared" si="0"/>
        <v>7</v>
      </c>
      <c r="J13">
        <v>0</v>
      </c>
      <c r="K13">
        <f t="shared" si="1"/>
        <v>7</v>
      </c>
    </row>
    <row r="14" spans="1:12" x14ac:dyDescent="0.2">
      <c r="C14">
        <v>1</v>
      </c>
      <c r="D14" s="1" t="s">
        <v>107</v>
      </c>
      <c r="F14">
        <f>Character!$G$14</f>
        <v>1</v>
      </c>
      <c r="G14">
        <f t="shared" si="2"/>
        <v>6</v>
      </c>
      <c r="I14">
        <f t="shared" si="0"/>
        <v>7</v>
      </c>
      <c r="J14">
        <v>0</v>
      </c>
      <c r="K14">
        <f t="shared" si="1"/>
        <v>7</v>
      </c>
    </row>
    <row r="15" spans="1:12" x14ac:dyDescent="0.2">
      <c r="C15">
        <v>0</v>
      </c>
      <c r="D15" s="1" t="s">
        <v>108</v>
      </c>
      <c r="F15">
        <f>Character!$G$14</f>
        <v>1</v>
      </c>
      <c r="G15">
        <f t="shared" si="2"/>
        <v>6</v>
      </c>
      <c r="H15">
        <f>IF(E26&gt;=5,2,0)</f>
        <v>0</v>
      </c>
      <c r="I15">
        <f t="shared" si="0"/>
        <v>7</v>
      </c>
      <c r="J15">
        <v>0</v>
      </c>
      <c r="K15">
        <f t="shared" si="1"/>
        <v>7</v>
      </c>
    </row>
    <row r="16" spans="1:12" x14ac:dyDescent="0.2">
      <c r="A16">
        <v>1</v>
      </c>
      <c r="C16">
        <v>0</v>
      </c>
      <c r="D16" s="1" t="s">
        <v>109</v>
      </c>
      <c r="F16">
        <f>Character!$G$14</f>
        <v>1</v>
      </c>
      <c r="G16">
        <f t="shared" si="2"/>
        <v>6</v>
      </c>
      <c r="I16">
        <f t="shared" si="0"/>
        <v>7</v>
      </c>
      <c r="J16">
        <v>0</v>
      </c>
      <c r="K16">
        <f t="shared" si="1"/>
        <v>7</v>
      </c>
    </row>
    <row r="17" spans="1:11" x14ac:dyDescent="0.2">
      <c r="A17">
        <v>1</v>
      </c>
      <c r="C17">
        <v>1</v>
      </c>
      <c r="D17" s="1" t="s">
        <v>110</v>
      </c>
      <c r="F17">
        <f>Character!$G$14</f>
        <v>1</v>
      </c>
      <c r="G17">
        <f t="shared" si="2"/>
        <v>6</v>
      </c>
      <c r="I17">
        <f t="shared" si="0"/>
        <v>7</v>
      </c>
      <c r="J17">
        <v>0</v>
      </c>
      <c r="K17">
        <f t="shared" si="1"/>
        <v>7</v>
      </c>
    </row>
    <row r="18" spans="1:11" x14ac:dyDescent="0.2">
      <c r="A18">
        <v>1</v>
      </c>
      <c r="C18">
        <v>1</v>
      </c>
      <c r="D18" s="1" t="s">
        <v>111</v>
      </c>
      <c r="E18">
        <v>11</v>
      </c>
      <c r="F18">
        <f>Character!$G$14</f>
        <v>1</v>
      </c>
      <c r="G18">
        <f>Equipment!G19+$E$67</f>
        <v>8</v>
      </c>
      <c r="I18">
        <f>SUM(E18:H18)+('Active Spells'!A44*'Active Spells'!D29)</f>
        <v>20</v>
      </c>
      <c r="J18">
        <v>1</v>
      </c>
      <c r="K18">
        <f t="shared" si="1"/>
        <v>19</v>
      </c>
    </row>
    <row r="19" spans="1:11" x14ac:dyDescent="0.2">
      <c r="C19">
        <v>1</v>
      </c>
      <c r="D19" s="1" t="s">
        <v>112</v>
      </c>
      <c r="F19">
        <f>Character!$G$14</f>
        <v>1</v>
      </c>
      <c r="G19">
        <f t="shared" ref="G19:G32" si="3">$E$67</f>
        <v>6</v>
      </c>
      <c r="H19">
        <f>IF(E5&gt;=5,2,0)</f>
        <v>0</v>
      </c>
      <c r="I19">
        <f t="shared" si="0"/>
        <v>7</v>
      </c>
      <c r="J19">
        <v>0</v>
      </c>
      <c r="K19">
        <f t="shared" si="1"/>
        <v>7</v>
      </c>
    </row>
    <row r="20" spans="1:11" x14ac:dyDescent="0.2">
      <c r="A20">
        <v>1</v>
      </c>
      <c r="B20">
        <v>1</v>
      </c>
      <c r="C20">
        <v>1</v>
      </c>
      <c r="D20" s="1" t="s">
        <v>113</v>
      </c>
      <c r="E20">
        <v>2</v>
      </c>
      <c r="F20">
        <f>Character!$G$14</f>
        <v>1</v>
      </c>
      <c r="G20">
        <f t="shared" si="3"/>
        <v>6</v>
      </c>
      <c r="H20">
        <f>IF(E56&gt;=5,2,0)</f>
        <v>2</v>
      </c>
      <c r="I20">
        <f t="shared" si="0"/>
        <v>11</v>
      </c>
      <c r="J20">
        <v>1</v>
      </c>
      <c r="K20">
        <f t="shared" si="1"/>
        <v>10</v>
      </c>
    </row>
    <row r="21" spans="1:11" x14ac:dyDescent="0.2">
      <c r="C21">
        <v>0</v>
      </c>
      <c r="D21" s="1" t="s">
        <v>114</v>
      </c>
      <c r="F21">
        <f>Character!$G$14</f>
        <v>1</v>
      </c>
      <c r="G21">
        <f t="shared" si="3"/>
        <v>6</v>
      </c>
      <c r="I21">
        <f t="shared" si="0"/>
        <v>7</v>
      </c>
      <c r="J21">
        <v>0</v>
      </c>
      <c r="K21">
        <f t="shared" si="1"/>
        <v>7</v>
      </c>
    </row>
    <row r="22" spans="1:11" x14ac:dyDescent="0.2">
      <c r="C22">
        <v>0</v>
      </c>
      <c r="D22" s="1" t="s">
        <v>115</v>
      </c>
      <c r="F22">
        <f>Character!$G$14</f>
        <v>1</v>
      </c>
      <c r="G22">
        <f t="shared" si="3"/>
        <v>6</v>
      </c>
      <c r="I22">
        <f t="shared" si="0"/>
        <v>7</v>
      </c>
      <c r="J22">
        <v>0</v>
      </c>
      <c r="K22">
        <f t="shared" si="1"/>
        <v>7</v>
      </c>
    </row>
    <row r="23" spans="1:11" x14ac:dyDescent="0.2">
      <c r="A23">
        <v>1</v>
      </c>
      <c r="C23">
        <v>0</v>
      </c>
      <c r="D23" s="1" t="s">
        <v>116</v>
      </c>
      <c r="F23">
        <f>Character!$G$14</f>
        <v>1</v>
      </c>
      <c r="G23">
        <f t="shared" si="3"/>
        <v>6</v>
      </c>
      <c r="I23">
        <f t="shared" si="0"/>
        <v>7</v>
      </c>
      <c r="J23">
        <v>0</v>
      </c>
      <c r="K23">
        <f t="shared" si="1"/>
        <v>7</v>
      </c>
    </row>
    <row r="24" spans="1:11" x14ac:dyDescent="0.2">
      <c r="A24">
        <v>1</v>
      </c>
      <c r="C24">
        <v>0</v>
      </c>
      <c r="D24" s="1" t="s">
        <v>117</v>
      </c>
      <c r="F24">
        <f>Character!$G$15</f>
        <v>1</v>
      </c>
      <c r="G24">
        <f t="shared" si="3"/>
        <v>6</v>
      </c>
      <c r="I24">
        <f t="shared" si="0"/>
        <v>7</v>
      </c>
      <c r="J24">
        <v>0</v>
      </c>
      <c r="K24">
        <f t="shared" si="1"/>
        <v>7</v>
      </c>
    </row>
    <row r="25" spans="1:11" x14ac:dyDescent="0.2">
      <c r="C25">
        <v>0</v>
      </c>
      <c r="D25" s="1" t="s">
        <v>118</v>
      </c>
      <c r="F25">
        <f>Character!$G$12</f>
        <v>3</v>
      </c>
      <c r="G25">
        <f t="shared" si="3"/>
        <v>6</v>
      </c>
      <c r="I25">
        <f t="shared" si="0"/>
        <v>9</v>
      </c>
      <c r="J25">
        <v>0</v>
      </c>
      <c r="K25">
        <f t="shared" si="1"/>
        <v>9</v>
      </c>
    </row>
    <row r="26" spans="1:11" x14ac:dyDescent="0.2">
      <c r="C26">
        <v>0</v>
      </c>
      <c r="D26" s="1" t="s">
        <v>119</v>
      </c>
      <c r="F26">
        <f>Character!$G$12</f>
        <v>3</v>
      </c>
      <c r="G26">
        <f t="shared" si="3"/>
        <v>6</v>
      </c>
      <c r="I26">
        <f t="shared" si="0"/>
        <v>9</v>
      </c>
      <c r="J26">
        <v>0</v>
      </c>
      <c r="K26">
        <f t="shared" si="1"/>
        <v>9</v>
      </c>
    </row>
    <row r="27" spans="1:11" x14ac:dyDescent="0.2">
      <c r="A27">
        <v>1</v>
      </c>
      <c r="C27">
        <v>0</v>
      </c>
      <c r="D27" s="1" t="s">
        <v>120</v>
      </c>
      <c r="E27">
        <v>7</v>
      </c>
      <c r="F27">
        <f>Character!$G$16</f>
        <v>3</v>
      </c>
      <c r="G27">
        <f t="shared" si="3"/>
        <v>6</v>
      </c>
      <c r="H27">
        <f>IF(E54&gt;=5,2,0)</f>
        <v>2</v>
      </c>
      <c r="I27">
        <f t="shared" si="0"/>
        <v>18</v>
      </c>
      <c r="J27">
        <v>0</v>
      </c>
      <c r="K27">
        <f t="shared" si="1"/>
        <v>18</v>
      </c>
    </row>
    <row r="28" spans="1:11" x14ac:dyDescent="0.2">
      <c r="C28">
        <v>0</v>
      </c>
      <c r="D28" s="1" t="s">
        <v>121</v>
      </c>
      <c r="F28">
        <f>Character!$G$16</f>
        <v>3</v>
      </c>
      <c r="G28">
        <f t="shared" si="3"/>
        <v>6</v>
      </c>
      <c r="I28">
        <f t="shared" si="0"/>
        <v>9</v>
      </c>
      <c r="J28">
        <v>0</v>
      </c>
      <c r="K28">
        <f t="shared" si="1"/>
        <v>9</v>
      </c>
    </row>
    <row r="29" spans="1:11" x14ac:dyDescent="0.2">
      <c r="C29">
        <v>0</v>
      </c>
      <c r="D29" s="1" t="s">
        <v>122</v>
      </c>
      <c r="F29">
        <f>Character!$G$16</f>
        <v>3</v>
      </c>
      <c r="G29">
        <f t="shared" si="3"/>
        <v>6</v>
      </c>
      <c r="I29">
        <f t="shared" si="0"/>
        <v>9</v>
      </c>
      <c r="J29">
        <v>0</v>
      </c>
      <c r="K29">
        <f t="shared" si="1"/>
        <v>9</v>
      </c>
    </row>
    <row r="30" spans="1:11" x14ac:dyDescent="0.2">
      <c r="C30">
        <v>0</v>
      </c>
      <c r="D30" s="1" t="s">
        <v>124</v>
      </c>
      <c r="F30">
        <f>Character!$G$16</f>
        <v>3</v>
      </c>
      <c r="G30">
        <f t="shared" si="3"/>
        <v>6</v>
      </c>
      <c r="H30">
        <f>IF(E3&gt;=5,2,0)</f>
        <v>0</v>
      </c>
      <c r="I30">
        <f t="shared" si="0"/>
        <v>9</v>
      </c>
      <c r="J30">
        <v>0</v>
      </c>
      <c r="K30">
        <f t="shared" si="1"/>
        <v>9</v>
      </c>
    </row>
    <row r="31" spans="1:11" x14ac:dyDescent="0.2">
      <c r="C31">
        <v>0</v>
      </c>
      <c r="D31" s="1" t="s">
        <v>125</v>
      </c>
      <c r="F31">
        <f>Character!$G$16</f>
        <v>3</v>
      </c>
      <c r="G31">
        <f t="shared" si="3"/>
        <v>6</v>
      </c>
      <c r="I31">
        <f t="shared" si="0"/>
        <v>9</v>
      </c>
      <c r="J31">
        <v>0</v>
      </c>
      <c r="K31">
        <f t="shared" si="1"/>
        <v>9</v>
      </c>
    </row>
    <row r="32" spans="1:11" x14ac:dyDescent="0.2">
      <c r="C32">
        <v>0</v>
      </c>
      <c r="D32" s="1" t="s">
        <v>126</v>
      </c>
      <c r="F32">
        <f>Character!$G$16</f>
        <v>3</v>
      </c>
      <c r="G32">
        <f t="shared" si="3"/>
        <v>6</v>
      </c>
      <c r="I32">
        <f t="shared" si="0"/>
        <v>9</v>
      </c>
      <c r="J32">
        <v>0</v>
      </c>
      <c r="K32">
        <f t="shared" si="1"/>
        <v>9</v>
      </c>
    </row>
    <row r="33" spans="1:11" x14ac:dyDescent="0.2">
      <c r="A33">
        <v>1</v>
      </c>
      <c r="C33">
        <v>1</v>
      </c>
      <c r="D33" s="1" t="s">
        <v>127</v>
      </c>
      <c r="E33">
        <v>10</v>
      </c>
      <c r="F33">
        <f>Character!$G$16</f>
        <v>3</v>
      </c>
      <c r="G33">
        <f>Equipment!G16+$E$67</f>
        <v>8</v>
      </c>
      <c r="I33">
        <f t="shared" si="0"/>
        <v>21</v>
      </c>
      <c r="J33">
        <v>0</v>
      </c>
      <c r="K33">
        <f t="shared" si="1"/>
        <v>21</v>
      </c>
    </row>
    <row r="34" spans="1:11" x14ac:dyDescent="0.2">
      <c r="A34">
        <v>1</v>
      </c>
      <c r="C34">
        <v>1</v>
      </c>
      <c r="D34" s="1" t="s">
        <v>128</v>
      </c>
      <c r="E34">
        <v>11</v>
      </c>
      <c r="F34">
        <f>Character!$G$16</f>
        <v>3</v>
      </c>
      <c r="G34">
        <f>Equipment!G20+$E$67</f>
        <v>8</v>
      </c>
      <c r="I34">
        <f t="shared" ref="I34:I58" si="4">SUM(E34:H34)</f>
        <v>22</v>
      </c>
      <c r="J34">
        <v>1</v>
      </c>
      <c r="K34">
        <f t="shared" si="1"/>
        <v>21</v>
      </c>
    </row>
    <row r="35" spans="1:11" x14ac:dyDescent="0.2">
      <c r="C35">
        <v>0</v>
      </c>
      <c r="D35" s="1" t="s">
        <v>129</v>
      </c>
      <c r="F35">
        <f>Character!$G$16</f>
        <v>3</v>
      </c>
      <c r="G35">
        <f t="shared" ref="G35:G47" si="5">$E$67</f>
        <v>6</v>
      </c>
      <c r="I35">
        <f t="shared" si="4"/>
        <v>9</v>
      </c>
      <c r="J35">
        <v>0</v>
      </c>
      <c r="K35">
        <f t="shared" si="1"/>
        <v>9</v>
      </c>
    </row>
    <row r="36" spans="1:11" x14ac:dyDescent="0.2">
      <c r="C36">
        <v>1</v>
      </c>
      <c r="D36" s="1" t="s">
        <v>130</v>
      </c>
      <c r="F36">
        <f>Character!$G$16</f>
        <v>3</v>
      </c>
      <c r="G36">
        <f t="shared" si="5"/>
        <v>6</v>
      </c>
      <c r="I36">
        <f t="shared" si="4"/>
        <v>9</v>
      </c>
      <c r="J36">
        <v>0</v>
      </c>
      <c r="K36">
        <f t="shared" si="1"/>
        <v>9</v>
      </c>
    </row>
    <row r="37" spans="1:11" x14ac:dyDescent="0.2">
      <c r="C37">
        <v>1</v>
      </c>
      <c r="D37" s="1" t="s">
        <v>131</v>
      </c>
      <c r="F37">
        <f>Character!$G$15</f>
        <v>1</v>
      </c>
      <c r="G37">
        <f t="shared" si="5"/>
        <v>6</v>
      </c>
      <c r="I37">
        <f t="shared" si="4"/>
        <v>7</v>
      </c>
      <c r="J37">
        <v>0</v>
      </c>
      <c r="K37">
        <f t="shared" si="1"/>
        <v>7</v>
      </c>
    </row>
    <row r="38" spans="1:11" x14ac:dyDescent="0.2">
      <c r="C38">
        <v>1</v>
      </c>
      <c r="D38" s="1" t="s">
        <v>132</v>
      </c>
      <c r="F38">
        <f>Character!$G$14</f>
        <v>1</v>
      </c>
      <c r="G38">
        <f t="shared" si="5"/>
        <v>6</v>
      </c>
      <c r="I38">
        <f t="shared" si="4"/>
        <v>7</v>
      </c>
      <c r="J38">
        <v>0</v>
      </c>
      <c r="K38">
        <f t="shared" si="1"/>
        <v>7</v>
      </c>
    </row>
    <row r="39" spans="1:11" x14ac:dyDescent="0.2">
      <c r="C39">
        <v>1</v>
      </c>
      <c r="D39" s="1" t="s">
        <v>133</v>
      </c>
      <c r="F39">
        <f>Character!$G$12</f>
        <v>3</v>
      </c>
      <c r="G39">
        <f t="shared" si="5"/>
        <v>6</v>
      </c>
      <c r="I39">
        <f t="shared" si="4"/>
        <v>9</v>
      </c>
      <c r="J39">
        <v>0</v>
      </c>
      <c r="K39">
        <f t="shared" si="1"/>
        <v>9</v>
      </c>
    </row>
    <row r="40" spans="1:11" x14ac:dyDescent="0.2">
      <c r="C40">
        <v>1</v>
      </c>
      <c r="D40" s="1" t="s">
        <v>134</v>
      </c>
      <c r="F40">
        <f>Character!$G$14</f>
        <v>1</v>
      </c>
      <c r="G40">
        <f t="shared" si="5"/>
        <v>6</v>
      </c>
      <c r="I40">
        <f t="shared" si="4"/>
        <v>7</v>
      </c>
      <c r="J40">
        <v>0</v>
      </c>
      <c r="K40">
        <f t="shared" si="1"/>
        <v>7</v>
      </c>
    </row>
    <row r="41" spans="1:11" x14ac:dyDescent="0.2">
      <c r="C41">
        <v>1</v>
      </c>
      <c r="D41" s="1" t="s">
        <v>135</v>
      </c>
      <c r="F41">
        <f>Character!$G$15</f>
        <v>1</v>
      </c>
      <c r="G41">
        <f t="shared" si="5"/>
        <v>6</v>
      </c>
      <c r="I41">
        <f t="shared" si="4"/>
        <v>7</v>
      </c>
      <c r="J41">
        <v>0</v>
      </c>
      <c r="K41">
        <f t="shared" si="1"/>
        <v>7</v>
      </c>
    </row>
    <row r="42" spans="1:11" x14ac:dyDescent="0.2">
      <c r="C42">
        <v>1</v>
      </c>
      <c r="D42" s="1" t="s">
        <v>136</v>
      </c>
      <c r="F42">
        <f>Character!$G$12</f>
        <v>3</v>
      </c>
      <c r="G42">
        <f t="shared" si="5"/>
        <v>6</v>
      </c>
      <c r="I42">
        <f t="shared" si="4"/>
        <v>9</v>
      </c>
      <c r="J42">
        <v>0</v>
      </c>
      <c r="K42">
        <f t="shared" si="1"/>
        <v>9</v>
      </c>
    </row>
    <row r="43" spans="1:11" x14ac:dyDescent="0.2">
      <c r="C43">
        <v>1</v>
      </c>
      <c r="D43" s="1" t="s">
        <v>137</v>
      </c>
      <c r="F43">
        <f>Character!$G$14</f>
        <v>1</v>
      </c>
      <c r="G43">
        <f t="shared" si="5"/>
        <v>6</v>
      </c>
      <c r="I43">
        <f t="shared" si="4"/>
        <v>7</v>
      </c>
      <c r="J43">
        <v>0</v>
      </c>
      <c r="K43">
        <f t="shared" si="1"/>
        <v>7</v>
      </c>
    </row>
    <row r="44" spans="1:11" x14ac:dyDescent="0.2">
      <c r="C44">
        <v>1</v>
      </c>
      <c r="D44" s="1" t="s">
        <v>138</v>
      </c>
      <c r="F44">
        <f>Character!$G$15</f>
        <v>1</v>
      </c>
      <c r="G44">
        <f t="shared" si="5"/>
        <v>6</v>
      </c>
      <c r="I44">
        <f t="shared" si="4"/>
        <v>7</v>
      </c>
      <c r="J44">
        <v>0</v>
      </c>
      <c r="K44">
        <f t="shared" si="1"/>
        <v>7</v>
      </c>
    </row>
    <row r="45" spans="1:11" x14ac:dyDescent="0.2">
      <c r="C45">
        <v>1</v>
      </c>
      <c r="D45" s="1" t="s">
        <v>139</v>
      </c>
      <c r="F45">
        <f>Character!$G$15</f>
        <v>1</v>
      </c>
      <c r="G45">
        <f t="shared" si="5"/>
        <v>6</v>
      </c>
      <c r="I45">
        <f t="shared" si="4"/>
        <v>7</v>
      </c>
      <c r="J45">
        <v>0</v>
      </c>
      <c r="K45">
        <f t="shared" si="1"/>
        <v>7</v>
      </c>
    </row>
    <row r="46" spans="1:11" x14ac:dyDescent="0.2">
      <c r="A46">
        <v>1</v>
      </c>
      <c r="C46">
        <v>0</v>
      </c>
      <c r="D46" s="1" t="s">
        <v>140</v>
      </c>
      <c r="F46">
        <f>Character!$G$11</f>
        <v>14</v>
      </c>
      <c r="G46">
        <f t="shared" si="5"/>
        <v>6</v>
      </c>
      <c r="I46">
        <f t="shared" si="4"/>
        <v>20</v>
      </c>
      <c r="J46">
        <v>0</v>
      </c>
      <c r="K46">
        <f t="shared" si="1"/>
        <v>20</v>
      </c>
    </row>
    <row r="47" spans="1:11" x14ac:dyDescent="0.2">
      <c r="C47">
        <v>0</v>
      </c>
      <c r="D47" s="1" t="s">
        <v>141</v>
      </c>
      <c r="F47">
        <f>Character!$G$12</f>
        <v>3</v>
      </c>
      <c r="G47">
        <f t="shared" si="5"/>
        <v>6</v>
      </c>
      <c r="H47">
        <f>IF(E30&gt;=5,2,0)</f>
        <v>0</v>
      </c>
      <c r="I47">
        <f t="shared" si="4"/>
        <v>9</v>
      </c>
      <c r="J47">
        <v>0</v>
      </c>
      <c r="K47">
        <f t="shared" si="1"/>
        <v>9</v>
      </c>
    </row>
    <row r="48" spans="1:11" x14ac:dyDescent="0.2">
      <c r="A48">
        <v>1</v>
      </c>
      <c r="C48">
        <v>1</v>
      </c>
      <c r="D48" s="1" t="s">
        <v>142</v>
      </c>
      <c r="E48">
        <v>5</v>
      </c>
      <c r="F48">
        <f>Character!$G$16</f>
        <v>3</v>
      </c>
      <c r="G48">
        <f>Equipment!G21+$E$67</f>
        <v>8</v>
      </c>
      <c r="H48">
        <f>IF(E16&gt;=5,2,0)</f>
        <v>0</v>
      </c>
      <c r="I48">
        <f t="shared" si="4"/>
        <v>16</v>
      </c>
      <c r="J48">
        <v>0</v>
      </c>
      <c r="K48">
        <f t="shared" si="1"/>
        <v>16</v>
      </c>
    </row>
    <row r="49" spans="1:12" x14ac:dyDescent="0.2">
      <c r="A49">
        <v>1</v>
      </c>
      <c r="C49">
        <v>1</v>
      </c>
      <c r="D49" s="1" t="s">
        <v>143</v>
      </c>
      <c r="E49">
        <v>6</v>
      </c>
      <c r="F49">
        <f>Character!$G$16</f>
        <v>3</v>
      </c>
      <c r="G49">
        <f>$E$67</f>
        <v>6</v>
      </c>
      <c r="I49">
        <f t="shared" si="4"/>
        <v>15</v>
      </c>
      <c r="J49">
        <v>0</v>
      </c>
      <c r="K49">
        <f t="shared" si="1"/>
        <v>15</v>
      </c>
    </row>
    <row r="50" spans="1:12" x14ac:dyDescent="0.2">
      <c r="C50">
        <v>1</v>
      </c>
      <c r="D50" s="1" t="s">
        <v>144</v>
      </c>
      <c r="F50">
        <f>Character!$G$12</f>
        <v>3</v>
      </c>
      <c r="G50">
        <f>Equipment!G22+$E$67</f>
        <v>8</v>
      </c>
      <c r="I50">
        <f t="shared" si="4"/>
        <v>11</v>
      </c>
      <c r="J50">
        <v>0</v>
      </c>
      <c r="K50">
        <f t="shared" si="1"/>
        <v>11</v>
      </c>
    </row>
    <row r="51" spans="1:12" x14ac:dyDescent="0.2">
      <c r="B51">
        <v>1</v>
      </c>
      <c r="C51">
        <v>0</v>
      </c>
      <c r="D51" s="1" t="s">
        <v>145</v>
      </c>
      <c r="F51">
        <f>Character!$G$12</f>
        <v>3</v>
      </c>
      <c r="G51">
        <f t="shared" ref="G51:G52" si="6">$E$67</f>
        <v>6</v>
      </c>
      <c r="H51">
        <f>IF(E5&gt;=5,2,0)</f>
        <v>0</v>
      </c>
      <c r="I51">
        <f t="shared" si="4"/>
        <v>9</v>
      </c>
      <c r="J51">
        <v>0</v>
      </c>
      <c r="K51">
        <f t="shared" si="1"/>
        <v>9</v>
      </c>
    </row>
    <row r="52" spans="1:12" x14ac:dyDescent="0.2">
      <c r="C52">
        <v>0</v>
      </c>
      <c r="D52" s="1" t="s">
        <v>146</v>
      </c>
      <c r="F52">
        <f>Character!$G$14</f>
        <v>1</v>
      </c>
      <c r="G52">
        <f t="shared" si="6"/>
        <v>6</v>
      </c>
      <c r="H52">
        <f>IF(E21&gt;=5,2,0)</f>
        <v>0</v>
      </c>
      <c r="I52">
        <f t="shared" si="4"/>
        <v>7</v>
      </c>
      <c r="J52">
        <v>0</v>
      </c>
      <c r="K52">
        <f t="shared" si="1"/>
        <v>7</v>
      </c>
    </row>
    <row r="53" spans="1:12" x14ac:dyDescent="0.2">
      <c r="A53">
        <v>1</v>
      </c>
      <c r="C53">
        <v>1</v>
      </c>
      <c r="D53" s="1" t="s">
        <v>147</v>
      </c>
      <c r="E53">
        <v>14</v>
      </c>
      <c r="F53">
        <f>Character!$G$15</f>
        <v>1</v>
      </c>
      <c r="G53">
        <f>Equipment!G17+$E$67</f>
        <v>8</v>
      </c>
      <c r="I53">
        <f t="shared" si="4"/>
        <v>23</v>
      </c>
      <c r="J53">
        <v>0</v>
      </c>
      <c r="K53">
        <f t="shared" si="1"/>
        <v>23</v>
      </c>
    </row>
    <row r="54" spans="1:12" x14ac:dyDescent="0.2">
      <c r="A54">
        <v>1</v>
      </c>
      <c r="C54">
        <v>1</v>
      </c>
      <c r="D54" s="1" t="s">
        <v>148</v>
      </c>
      <c r="E54">
        <v>13</v>
      </c>
      <c r="F54">
        <f>Character!$G$15</f>
        <v>1</v>
      </c>
      <c r="G54">
        <f>Equipment!G23+$E$67</f>
        <v>8</v>
      </c>
      <c r="H54">
        <f>IF(E27&gt;=5,2,0)+IF(E49&gt;=5,2,0)</f>
        <v>4</v>
      </c>
      <c r="I54">
        <f t="shared" si="4"/>
        <v>26</v>
      </c>
      <c r="J54">
        <v>0</v>
      </c>
      <c r="K54">
        <f t="shared" si="1"/>
        <v>26</v>
      </c>
    </row>
    <row r="55" spans="1:12" x14ac:dyDescent="0.2">
      <c r="A55">
        <v>1</v>
      </c>
      <c r="C55">
        <v>1</v>
      </c>
      <c r="D55" s="1" t="s">
        <v>149</v>
      </c>
      <c r="F55">
        <f>Character!$G$11</f>
        <v>14</v>
      </c>
      <c r="G55">
        <f t="shared" ref="G55:G59" si="7">$E$67</f>
        <v>6</v>
      </c>
      <c r="I55">
        <f t="shared" si="4"/>
        <v>20</v>
      </c>
      <c r="J55">
        <v>1</v>
      </c>
      <c r="K55">
        <f t="shared" si="1"/>
        <v>19</v>
      </c>
    </row>
    <row r="56" spans="1:12" x14ac:dyDescent="0.2">
      <c r="B56">
        <v>1</v>
      </c>
      <c r="C56">
        <v>0</v>
      </c>
      <c r="D56" s="1" t="s">
        <v>150</v>
      </c>
      <c r="E56">
        <v>17</v>
      </c>
      <c r="F56">
        <f>Character!$G$12</f>
        <v>3</v>
      </c>
      <c r="G56">
        <f t="shared" si="7"/>
        <v>6</v>
      </c>
      <c r="H56">
        <f>IF(E20&gt;=5,2,0)</f>
        <v>0</v>
      </c>
      <c r="I56">
        <f t="shared" si="4"/>
        <v>26</v>
      </c>
      <c r="J56">
        <v>1</v>
      </c>
      <c r="K56">
        <f t="shared" si="1"/>
        <v>25</v>
      </c>
    </row>
    <row r="57" spans="1:12" x14ac:dyDescent="0.2">
      <c r="C57">
        <v>0</v>
      </c>
      <c r="D57" s="1" t="s">
        <v>151</v>
      </c>
      <c r="F57">
        <f>Character!$G$16</f>
        <v>3</v>
      </c>
      <c r="G57">
        <f t="shared" si="7"/>
        <v>6</v>
      </c>
      <c r="I57">
        <f t="shared" si="4"/>
        <v>9</v>
      </c>
      <c r="J57">
        <v>0</v>
      </c>
      <c r="K57">
        <f t="shared" si="1"/>
        <v>9</v>
      </c>
      <c r="L57" s="1"/>
    </row>
    <row r="58" spans="1:12" x14ac:dyDescent="0.2">
      <c r="C58">
        <v>0</v>
      </c>
      <c r="D58" s="1" t="s">
        <v>152</v>
      </c>
      <c r="F58">
        <f>Character!$G$16</f>
        <v>3</v>
      </c>
      <c r="G58">
        <f t="shared" si="7"/>
        <v>6</v>
      </c>
      <c r="I58">
        <f t="shared" si="4"/>
        <v>9</v>
      </c>
      <c r="J58">
        <v>0</v>
      </c>
      <c r="K58">
        <f t="shared" si="1"/>
        <v>9</v>
      </c>
    </row>
    <row r="59" spans="1:12" x14ac:dyDescent="0.2">
      <c r="A59">
        <v>1</v>
      </c>
      <c r="C59">
        <v>1</v>
      </c>
      <c r="D59" s="1" t="s">
        <v>153</v>
      </c>
      <c r="F59">
        <f>Character!$G$12</f>
        <v>3</v>
      </c>
      <c r="G59">
        <f t="shared" si="7"/>
        <v>6</v>
      </c>
      <c r="I59">
        <f t="shared" ref="I59" si="8">SUM(E59:H59)</f>
        <v>9</v>
      </c>
      <c r="J59">
        <v>0</v>
      </c>
      <c r="K59">
        <f t="shared" si="1"/>
        <v>9</v>
      </c>
      <c r="L59" s="1"/>
    </row>
    <row r="61" spans="1:12" x14ac:dyDescent="0.2">
      <c r="D61" s="1" t="s">
        <v>156</v>
      </c>
      <c r="E61">
        <v>1</v>
      </c>
    </row>
    <row r="62" spans="1:12" x14ac:dyDescent="0.2">
      <c r="D62" s="1" t="s">
        <v>175</v>
      </c>
      <c r="E62">
        <v>1</v>
      </c>
    </row>
    <row r="64" spans="1:12" x14ac:dyDescent="0.2">
      <c r="D64" t="s">
        <v>157</v>
      </c>
    </row>
    <row r="65" spans="3:7" x14ac:dyDescent="0.2">
      <c r="C65">
        <v>2</v>
      </c>
      <c r="D65" t="s">
        <v>196</v>
      </c>
    </row>
    <row r="67" spans="3:7" x14ac:dyDescent="0.2">
      <c r="D67" t="s">
        <v>191</v>
      </c>
      <c r="E67">
        <f>Bonus!U3</f>
        <v>6</v>
      </c>
    </row>
    <row r="68" spans="3:7" x14ac:dyDescent="0.2">
      <c r="D68" t="s">
        <v>197</v>
      </c>
      <c r="E68">
        <v>12</v>
      </c>
      <c r="G68" t="s">
        <v>199</v>
      </c>
    </row>
  </sheetData>
  <conditionalFormatting sqref="A2:C59 J2:J59">
    <cfRule type="iconSet" priority="1">
      <iconSet showValue="0">
        <cfvo type="percent" val="0"/>
        <cfvo type="percent" val="33"/>
        <cfvo type="percent" val="67"/>
      </iconSet>
    </cfRule>
    <cfRule type="iconSet" priority="2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F1:G1"/>
  <sheetViews>
    <sheetView topLeftCell="A22" workbookViewId="0">
      <selection activeCell="D54" sqref="D54"/>
    </sheetView>
  </sheetViews>
  <sheetFormatPr defaultColWidth="8.85546875" defaultRowHeight="12.75" x14ac:dyDescent="0.2"/>
  <sheetData>
    <row r="1" spans="6:7" x14ac:dyDescent="0.2">
      <c r="F1" t="s">
        <v>194</v>
      </c>
      <c r="G1" t="s">
        <v>195</v>
      </c>
    </row>
  </sheetData>
  <sortState ref="A2:B12">
    <sortCondition descending="1" ref="B2:B12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G29"/>
  <sheetViews>
    <sheetView workbookViewId="0">
      <selection activeCell="C33" sqref="C33"/>
    </sheetView>
  </sheetViews>
  <sheetFormatPr defaultColWidth="8.85546875" defaultRowHeight="12.75" x14ac:dyDescent="0.2"/>
  <cols>
    <col min="2" max="3" width="10" customWidth="1"/>
    <col min="4" max="4" width="15.42578125" customWidth="1"/>
    <col min="5" max="5" width="28.42578125" customWidth="1"/>
    <col min="7" max="7" width="29.140625" customWidth="1"/>
  </cols>
  <sheetData>
    <row r="3" spans="2:7" x14ac:dyDescent="0.2">
      <c r="B3" t="s">
        <v>9</v>
      </c>
      <c r="C3" s="1" t="s">
        <v>214</v>
      </c>
      <c r="D3" s="1" t="s">
        <v>252</v>
      </c>
      <c r="E3" t="s">
        <v>23</v>
      </c>
      <c r="F3" t="s">
        <v>25</v>
      </c>
      <c r="G3" s="1" t="s">
        <v>255</v>
      </c>
    </row>
    <row r="4" spans="2:7" x14ac:dyDescent="0.2">
      <c r="B4">
        <v>1</v>
      </c>
      <c r="C4" s="1" t="s">
        <v>27</v>
      </c>
      <c r="D4" s="1" t="s">
        <v>18</v>
      </c>
      <c r="E4" t="s">
        <v>27</v>
      </c>
      <c r="F4" t="s">
        <v>26</v>
      </c>
    </row>
    <row r="5" spans="2:7" x14ac:dyDescent="0.2">
      <c r="C5" s="1"/>
      <c r="D5" s="1"/>
      <c r="E5" t="s">
        <v>28</v>
      </c>
      <c r="F5" t="s">
        <v>31</v>
      </c>
    </row>
    <row r="6" spans="2:7" x14ac:dyDescent="0.2">
      <c r="B6">
        <v>1</v>
      </c>
      <c r="C6" s="1" t="s">
        <v>277</v>
      </c>
      <c r="D6" s="1" t="s">
        <v>18</v>
      </c>
      <c r="E6" s="1" t="s">
        <v>30</v>
      </c>
      <c r="F6" t="s">
        <v>34</v>
      </c>
      <c r="G6" s="1"/>
    </row>
    <row r="7" spans="2:7" x14ac:dyDescent="0.2">
      <c r="C7" s="1"/>
      <c r="D7" s="1"/>
      <c r="E7" t="s">
        <v>552</v>
      </c>
      <c r="F7" t="s">
        <v>9</v>
      </c>
    </row>
    <row r="8" spans="2:7" x14ac:dyDescent="0.2">
      <c r="C8" s="1"/>
      <c r="D8" s="1"/>
      <c r="E8" t="s">
        <v>32</v>
      </c>
      <c r="F8" t="s">
        <v>9</v>
      </c>
    </row>
    <row r="9" spans="2:7" x14ac:dyDescent="0.2">
      <c r="B9">
        <v>2</v>
      </c>
      <c r="C9" s="1" t="s">
        <v>277</v>
      </c>
      <c r="D9" s="1" t="s">
        <v>310</v>
      </c>
      <c r="E9" t="s">
        <v>33</v>
      </c>
      <c r="F9" t="s">
        <v>9</v>
      </c>
    </row>
    <row r="10" spans="2:7" x14ac:dyDescent="0.2">
      <c r="B10">
        <v>2</v>
      </c>
      <c r="C10" s="1" t="s">
        <v>277</v>
      </c>
      <c r="D10" s="1" t="s">
        <v>311</v>
      </c>
    </row>
    <row r="11" spans="2:7" x14ac:dyDescent="0.2">
      <c r="C11" s="1"/>
      <c r="D11" s="1"/>
      <c r="E11" t="s">
        <v>84</v>
      </c>
      <c r="F11" t="s">
        <v>29</v>
      </c>
    </row>
    <row r="12" spans="2:7" x14ac:dyDescent="0.2">
      <c r="C12" s="1"/>
      <c r="D12" s="1"/>
    </row>
    <row r="13" spans="2:7" x14ac:dyDescent="0.2">
      <c r="C13" s="1"/>
      <c r="D13" s="1"/>
    </row>
    <row r="14" spans="2:7" x14ac:dyDescent="0.2">
      <c r="C14" s="1"/>
      <c r="D14" s="1"/>
      <c r="E14" t="s">
        <v>35</v>
      </c>
      <c r="F14" t="s">
        <v>36</v>
      </c>
    </row>
    <row r="15" spans="2:7" x14ac:dyDescent="0.2">
      <c r="C15" s="1"/>
      <c r="D15" s="1"/>
      <c r="E15" t="s">
        <v>37</v>
      </c>
      <c r="F15" t="s">
        <v>36</v>
      </c>
    </row>
    <row r="16" spans="2:7" x14ac:dyDescent="0.2">
      <c r="B16">
        <v>2</v>
      </c>
      <c r="C16" s="1" t="s">
        <v>277</v>
      </c>
      <c r="D16" s="1" t="s">
        <v>310</v>
      </c>
      <c r="E16" t="s">
        <v>38</v>
      </c>
      <c r="F16" t="s">
        <v>39</v>
      </c>
    </row>
    <row r="17" spans="2:6" x14ac:dyDescent="0.2">
      <c r="B17">
        <v>1</v>
      </c>
      <c r="C17" s="1" t="s">
        <v>277</v>
      </c>
      <c r="D17" s="1" t="s">
        <v>542</v>
      </c>
    </row>
    <row r="18" spans="2:6" x14ac:dyDescent="0.2">
      <c r="B18">
        <v>6</v>
      </c>
      <c r="C18" s="1" t="s">
        <v>277</v>
      </c>
      <c r="D18" s="1" t="s">
        <v>311</v>
      </c>
    </row>
    <row r="19" spans="2:6" x14ac:dyDescent="0.2">
      <c r="C19" s="1"/>
      <c r="D19" s="1"/>
      <c r="E19" t="s">
        <v>40</v>
      </c>
      <c r="F19" t="s">
        <v>41</v>
      </c>
    </row>
    <row r="20" spans="2:6" x14ac:dyDescent="0.2">
      <c r="C20" s="1"/>
      <c r="D20" s="1"/>
      <c r="E20" t="s">
        <v>42</v>
      </c>
      <c r="F20" t="s">
        <v>43</v>
      </c>
    </row>
    <row r="21" spans="2:6" x14ac:dyDescent="0.2">
      <c r="B21">
        <v>1</v>
      </c>
      <c r="C21" s="1" t="s">
        <v>277</v>
      </c>
      <c r="D21" s="1" t="s">
        <v>542</v>
      </c>
      <c r="E21" t="s">
        <v>44</v>
      </c>
      <c r="F21" t="s">
        <v>45</v>
      </c>
    </row>
    <row r="22" spans="2:6" x14ac:dyDescent="0.2">
      <c r="B22">
        <v>3</v>
      </c>
      <c r="C22" s="1" t="s">
        <v>277</v>
      </c>
      <c r="D22" s="1" t="s">
        <v>18</v>
      </c>
      <c r="E22" t="s">
        <v>46</v>
      </c>
      <c r="F22" t="s">
        <v>173</v>
      </c>
    </row>
    <row r="23" spans="2:6" x14ac:dyDescent="0.2">
      <c r="B23">
        <v>2</v>
      </c>
      <c r="C23" s="1" t="s">
        <v>277</v>
      </c>
      <c r="D23" s="1" t="s">
        <v>310</v>
      </c>
      <c r="E23" t="s">
        <v>47</v>
      </c>
      <c r="F23" t="s">
        <v>174</v>
      </c>
    </row>
    <row r="24" spans="2:6" x14ac:dyDescent="0.2">
      <c r="B24">
        <v>2</v>
      </c>
      <c r="C24" s="1" t="s">
        <v>277</v>
      </c>
      <c r="D24" s="1" t="s">
        <v>311</v>
      </c>
    </row>
    <row r="25" spans="2:6" x14ac:dyDescent="0.2">
      <c r="B25">
        <v>1</v>
      </c>
      <c r="C25" s="1" t="s">
        <v>277</v>
      </c>
      <c r="D25" s="1" t="s">
        <v>528</v>
      </c>
      <c r="E25" t="s">
        <v>77</v>
      </c>
      <c r="F25" t="s">
        <v>67</v>
      </c>
    </row>
    <row r="26" spans="2:6" x14ac:dyDescent="0.2">
      <c r="C26" s="1"/>
      <c r="D26" s="1"/>
      <c r="E26" t="s">
        <v>171</v>
      </c>
      <c r="F26" t="s">
        <v>172</v>
      </c>
    </row>
    <row r="29" spans="2:6" x14ac:dyDescent="0.2">
      <c r="E29" s="1" t="s">
        <v>373</v>
      </c>
      <c r="F29" t="s">
        <v>183</v>
      </c>
    </row>
  </sheetData>
  <phoneticPr fontId="1" type="noConversion"/>
  <pageMargins left="0.75" right="0.75" top="1" bottom="1" header="0.5" footer="0.5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Bonus!$A$4:$A$34</xm:f>
          </x14:formula1>
          <xm:sqref>C4:C26</xm:sqref>
        </x14:dataValidation>
        <x14:dataValidation type="list" allowBlank="1" showInputMessage="1" showErrorMessage="1">
          <x14:formula1>
            <xm:f>Bonus!$B$2:$AAA$2</xm:f>
          </x14:formula1>
          <xm:sqref>D4:D26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J46"/>
  <sheetViews>
    <sheetView topLeftCell="A10" workbookViewId="0">
      <selection activeCell="A36" sqref="A36"/>
    </sheetView>
  </sheetViews>
  <sheetFormatPr defaultColWidth="8.85546875" defaultRowHeight="12.75" x14ac:dyDescent="0.2"/>
  <cols>
    <col min="2" max="2" width="13.7109375" customWidth="1"/>
    <col min="8" max="8" width="56" customWidth="1"/>
    <col min="9" max="9" width="18.7109375" customWidth="1"/>
    <col min="10" max="10" width="48.7109375" customWidth="1"/>
  </cols>
  <sheetData>
    <row r="2" spans="1:10" x14ac:dyDescent="0.2">
      <c r="D2" s="1" t="s">
        <v>323</v>
      </c>
      <c r="E2">
        <v>0.441</v>
      </c>
      <c r="F2">
        <v>110000</v>
      </c>
      <c r="G2">
        <v>12</v>
      </c>
    </row>
    <row r="3" spans="1:10" x14ac:dyDescent="0.2">
      <c r="F3">
        <v>2500</v>
      </c>
      <c r="G3" t="s">
        <v>9</v>
      </c>
    </row>
    <row r="4" spans="1:10" x14ac:dyDescent="0.2">
      <c r="F4">
        <v>2200</v>
      </c>
      <c r="G4" t="s">
        <v>192</v>
      </c>
    </row>
    <row r="6" spans="1:10" x14ac:dyDescent="0.2">
      <c r="A6" s="5" t="s">
        <v>324</v>
      </c>
      <c r="B6" s="5" t="s">
        <v>214</v>
      </c>
      <c r="C6" s="5" t="s">
        <v>252</v>
      </c>
      <c r="D6" s="6" t="s">
        <v>22</v>
      </c>
      <c r="E6" s="6" t="s">
        <v>20</v>
      </c>
      <c r="F6" s="6" t="s">
        <v>6</v>
      </c>
      <c r="G6" s="6" t="s">
        <v>21</v>
      </c>
      <c r="H6" s="6" t="s">
        <v>23</v>
      </c>
      <c r="I6" s="6" t="s">
        <v>49</v>
      </c>
      <c r="J6" s="62" t="s">
        <v>255</v>
      </c>
    </row>
    <row r="7" spans="1:10" x14ac:dyDescent="0.2">
      <c r="A7">
        <v>1</v>
      </c>
      <c r="B7" s="1" t="s">
        <v>259</v>
      </c>
      <c r="C7" s="1" t="s">
        <v>238</v>
      </c>
      <c r="D7">
        <v>2</v>
      </c>
      <c r="E7">
        <v>8330</v>
      </c>
      <c r="F7">
        <f>D7*E7*$E$2</f>
        <v>7347.06</v>
      </c>
      <c r="G7">
        <v>2</v>
      </c>
      <c r="H7" t="s">
        <v>79</v>
      </c>
      <c r="I7" t="s">
        <v>84</v>
      </c>
    </row>
    <row r="8" spans="1:10" x14ac:dyDescent="0.2">
      <c r="A8">
        <v>1</v>
      </c>
      <c r="B8" s="1" t="s">
        <v>259</v>
      </c>
      <c r="C8" s="1" t="s">
        <v>287</v>
      </c>
      <c r="G8">
        <v>2</v>
      </c>
    </row>
    <row r="9" spans="1:10" x14ac:dyDescent="0.2">
      <c r="A9">
        <v>1</v>
      </c>
      <c r="B9" s="1" t="s">
        <v>259</v>
      </c>
      <c r="C9" s="1" t="s">
        <v>0</v>
      </c>
      <c r="D9">
        <v>1</v>
      </c>
      <c r="E9">
        <v>50000</v>
      </c>
      <c r="F9">
        <f>D9*E9*$E$2</f>
        <v>22050</v>
      </c>
      <c r="G9">
        <v>5</v>
      </c>
      <c r="H9" t="s">
        <v>178</v>
      </c>
      <c r="I9" t="s">
        <v>80</v>
      </c>
    </row>
    <row r="10" spans="1:10" x14ac:dyDescent="0.2">
      <c r="A10">
        <v>1</v>
      </c>
      <c r="B10" s="1" t="s">
        <v>259</v>
      </c>
      <c r="C10" s="1" t="s">
        <v>3</v>
      </c>
      <c r="G10">
        <v>5</v>
      </c>
    </row>
    <row r="11" spans="1:10" x14ac:dyDescent="0.2">
      <c r="A11">
        <v>1</v>
      </c>
      <c r="B11" s="1" t="s">
        <v>259</v>
      </c>
      <c r="C11" s="1" t="s">
        <v>1</v>
      </c>
      <c r="D11">
        <v>1</v>
      </c>
      <c r="E11">
        <v>1000</v>
      </c>
      <c r="F11">
        <f>D11*E11*$E$2</f>
        <v>441</v>
      </c>
      <c r="G11">
        <v>1</v>
      </c>
      <c r="H11" t="s">
        <v>50</v>
      </c>
      <c r="I11" t="s">
        <v>51</v>
      </c>
    </row>
    <row r="12" spans="1:10" x14ac:dyDescent="0.2">
      <c r="A12">
        <v>1</v>
      </c>
      <c r="B12" s="1" t="s">
        <v>265</v>
      </c>
      <c r="C12" s="1" t="s">
        <v>18</v>
      </c>
      <c r="D12">
        <v>1</v>
      </c>
      <c r="E12">
        <v>87200</v>
      </c>
      <c r="F12">
        <f>D12*E12*$E$2</f>
        <v>38455.199999999997</v>
      </c>
      <c r="G12">
        <v>5</v>
      </c>
      <c r="H12" t="s">
        <v>24</v>
      </c>
      <c r="I12" t="s">
        <v>52</v>
      </c>
    </row>
    <row r="13" spans="1:10" x14ac:dyDescent="0.2">
      <c r="A13">
        <v>1</v>
      </c>
      <c r="B13" s="1" t="s">
        <v>274</v>
      </c>
      <c r="C13" s="1" t="s">
        <v>11</v>
      </c>
      <c r="D13">
        <v>1</v>
      </c>
      <c r="G13">
        <v>5</v>
      </c>
    </row>
    <row r="14" spans="1:10" x14ac:dyDescent="0.2">
      <c r="A14">
        <v>1</v>
      </c>
      <c r="B14" s="1" t="s">
        <v>274</v>
      </c>
      <c r="C14" s="1" t="s">
        <v>12</v>
      </c>
      <c r="D14">
        <v>1</v>
      </c>
      <c r="G14">
        <v>5</v>
      </c>
    </row>
    <row r="15" spans="1:10" x14ac:dyDescent="0.2">
      <c r="A15">
        <v>1</v>
      </c>
      <c r="B15" s="1" t="s">
        <v>356</v>
      </c>
      <c r="C15" s="1" t="s">
        <v>18</v>
      </c>
      <c r="G15">
        <v>5</v>
      </c>
    </row>
    <row r="16" spans="1:10" x14ac:dyDescent="0.2">
      <c r="A16">
        <v>1</v>
      </c>
      <c r="B16" s="1" t="s">
        <v>267</v>
      </c>
      <c r="C16" s="1" t="s">
        <v>303</v>
      </c>
      <c r="D16">
        <v>1</v>
      </c>
      <c r="E16">
        <v>50</v>
      </c>
      <c r="F16">
        <f t="shared" ref="F16:F24" si="0">D16*E16*$E$2</f>
        <v>22.05</v>
      </c>
      <c r="G16">
        <v>2</v>
      </c>
      <c r="H16" t="s">
        <v>54</v>
      </c>
      <c r="I16" t="s">
        <v>53</v>
      </c>
    </row>
    <row r="17" spans="1:10" x14ac:dyDescent="0.2">
      <c r="A17">
        <v>1</v>
      </c>
      <c r="B17" s="1" t="s">
        <v>267</v>
      </c>
      <c r="C17" s="1" t="s">
        <v>303</v>
      </c>
      <c r="D17">
        <v>1</v>
      </c>
      <c r="E17">
        <v>50</v>
      </c>
      <c r="F17">
        <f t="shared" si="0"/>
        <v>22.05</v>
      </c>
      <c r="G17">
        <v>2</v>
      </c>
      <c r="H17" t="s">
        <v>55</v>
      </c>
      <c r="I17" t="s">
        <v>53</v>
      </c>
    </row>
    <row r="18" spans="1:10" x14ac:dyDescent="0.2">
      <c r="A18">
        <v>1</v>
      </c>
      <c r="B18" s="1"/>
      <c r="C18" s="1"/>
      <c r="D18">
        <v>1</v>
      </c>
      <c r="E18">
        <v>2000</v>
      </c>
      <c r="F18">
        <f t="shared" si="0"/>
        <v>882</v>
      </c>
      <c r="G18">
        <v>0</v>
      </c>
      <c r="H18" t="s">
        <v>76</v>
      </c>
    </row>
    <row r="19" spans="1:10" x14ac:dyDescent="0.2">
      <c r="A19">
        <v>1</v>
      </c>
      <c r="B19" s="1" t="s">
        <v>267</v>
      </c>
      <c r="C19" s="1" t="s">
        <v>238</v>
      </c>
      <c r="D19">
        <v>1</v>
      </c>
      <c r="E19">
        <v>50</v>
      </c>
      <c r="F19">
        <f t="shared" si="0"/>
        <v>22.05</v>
      </c>
      <c r="G19">
        <v>2</v>
      </c>
      <c r="H19" t="s">
        <v>56</v>
      </c>
      <c r="I19" t="s">
        <v>53</v>
      </c>
    </row>
    <row r="20" spans="1:10" x14ac:dyDescent="0.2">
      <c r="A20">
        <v>1</v>
      </c>
      <c r="B20" s="1" t="s">
        <v>267</v>
      </c>
      <c r="C20" s="1" t="s">
        <v>238</v>
      </c>
      <c r="D20">
        <v>1</v>
      </c>
      <c r="E20">
        <v>50</v>
      </c>
      <c r="F20">
        <f t="shared" si="0"/>
        <v>22.05</v>
      </c>
      <c r="G20">
        <v>2</v>
      </c>
      <c r="H20" t="s">
        <v>57</v>
      </c>
      <c r="I20" t="s">
        <v>53</v>
      </c>
    </row>
    <row r="21" spans="1:10" x14ac:dyDescent="0.2">
      <c r="A21">
        <v>1</v>
      </c>
      <c r="B21" s="1" t="s">
        <v>267</v>
      </c>
      <c r="C21" s="1" t="s">
        <v>238</v>
      </c>
      <c r="D21">
        <v>1</v>
      </c>
      <c r="E21">
        <v>50</v>
      </c>
      <c r="F21">
        <f t="shared" si="0"/>
        <v>22.05</v>
      </c>
      <c r="G21">
        <v>2</v>
      </c>
      <c r="H21" t="s">
        <v>58</v>
      </c>
      <c r="I21" t="s">
        <v>53</v>
      </c>
    </row>
    <row r="22" spans="1:10" x14ac:dyDescent="0.2">
      <c r="A22">
        <v>1</v>
      </c>
      <c r="B22" s="1" t="s">
        <v>267</v>
      </c>
      <c r="C22" s="1" t="s">
        <v>238</v>
      </c>
      <c r="D22">
        <v>1</v>
      </c>
      <c r="E22">
        <v>50</v>
      </c>
      <c r="F22">
        <f t="shared" si="0"/>
        <v>22.05</v>
      </c>
      <c r="G22">
        <v>2</v>
      </c>
      <c r="H22" t="s">
        <v>59</v>
      </c>
      <c r="I22" t="s">
        <v>53</v>
      </c>
    </row>
    <row r="23" spans="1:10" x14ac:dyDescent="0.2">
      <c r="A23">
        <v>1</v>
      </c>
      <c r="B23" s="1" t="s">
        <v>267</v>
      </c>
      <c r="C23" s="1" t="s">
        <v>238</v>
      </c>
      <c r="D23">
        <v>1</v>
      </c>
      <c r="E23">
        <v>50</v>
      </c>
      <c r="F23">
        <f t="shared" si="0"/>
        <v>22.05</v>
      </c>
      <c r="G23">
        <v>2</v>
      </c>
      <c r="H23" t="s">
        <v>60</v>
      </c>
      <c r="I23" t="s">
        <v>53</v>
      </c>
    </row>
    <row r="24" spans="1:10" x14ac:dyDescent="0.2">
      <c r="A24">
        <v>1</v>
      </c>
      <c r="B24" s="1"/>
      <c r="C24" s="1"/>
      <c r="D24">
        <v>1</v>
      </c>
      <c r="E24">
        <v>600</v>
      </c>
      <c r="F24">
        <f t="shared" si="0"/>
        <v>264.60000000000002</v>
      </c>
      <c r="G24">
        <v>8</v>
      </c>
      <c r="H24" t="s">
        <v>180</v>
      </c>
      <c r="I24" s="1" t="s">
        <v>325</v>
      </c>
    </row>
    <row r="25" spans="1:10" x14ac:dyDescent="0.2">
      <c r="A25">
        <v>1</v>
      </c>
      <c r="B25" s="1"/>
      <c r="C25" s="1"/>
      <c r="D25">
        <v>1</v>
      </c>
      <c r="E25">
        <v>2500</v>
      </c>
      <c r="F25">
        <f>D25*E25*$E$2*1.5</f>
        <v>1653.75</v>
      </c>
      <c r="G25">
        <v>0</v>
      </c>
      <c r="H25" t="s">
        <v>61</v>
      </c>
      <c r="I25" t="s">
        <v>83</v>
      </c>
    </row>
    <row r="26" spans="1:10" x14ac:dyDescent="0.2">
      <c r="A26">
        <v>1</v>
      </c>
      <c r="B26" s="1"/>
      <c r="C26" s="1"/>
      <c r="D26">
        <v>1</v>
      </c>
      <c r="E26">
        <v>64800</v>
      </c>
      <c r="F26">
        <f>D26*E26*$E$2</f>
        <v>28576.799999999999</v>
      </c>
      <c r="G26">
        <v>0</v>
      </c>
      <c r="H26" s="1" t="s">
        <v>326</v>
      </c>
      <c r="I26" s="1" t="s">
        <v>83</v>
      </c>
      <c r="J26" t="s">
        <v>74</v>
      </c>
    </row>
    <row r="27" spans="1:10" x14ac:dyDescent="0.2">
      <c r="A27">
        <v>1</v>
      </c>
      <c r="B27" s="1"/>
      <c r="C27" s="1"/>
      <c r="D27">
        <v>0</v>
      </c>
      <c r="E27">
        <v>3600</v>
      </c>
      <c r="F27">
        <f>D27*E27*$E$2*1.5</f>
        <v>0</v>
      </c>
      <c r="G27">
        <v>0</v>
      </c>
      <c r="H27" t="s">
        <v>89</v>
      </c>
      <c r="I27" t="s">
        <v>82</v>
      </c>
    </row>
    <row r="28" spans="1:10" x14ac:dyDescent="0.2">
      <c r="A28">
        <v>1</v>
      </c>
      <c r="B28" s="1"/>
      <c r="C28" s="1"/>
      <c r="D28">
        <v>1</v>
      </c>
      <c r="E28">
        <v>4000</v>
      </c>
      <c r="F28">
        <f>D28*E28*$E$2*1.5</f>
        <v>2646</v>
      </c>
      <c r="G28">
        <v>0</v>
      </c>
      <c r="H28" t="s">
        <v>193</v>
      </c>
      <c r="I28" t="s">
        <v>82</v>
      </c>
    </row>
    <row r="29" spans="1:10" x14ac:dyDescent="0.2">
      <c r="A29">
        <v>1</v>
      </c>
      <c r="B29" s="1" t="s">
        <v>357</v>
      </c>
      <c r="C29" s="1" t="s">
        <v>18</v>
      </c>
      <c r="D29">
        <v>1</v>
      </c>
      <c r="E29">
        <v>8000</v>
      </c>
      <c r="F29">
        <f>D29*E29*$E$2</f>
        <v>3528</v>
      </c>
      <c r="G29">
        <v>2</v>
      </c>
      <c r="H29" t="s">
        <v>75</v>
      </c>
    </row>
    <row r="30" spans="1:10" x14ac:dyDescent="0.2">
      <c r="A30">
        <v>1</v>
      </c>
      <c r="B30" s="1" t="s">
        <v>276</v>
      </c>
      <c r="C30" s="1" t="s">
        <v>18</v>
      </c>
      <c r="D30" s="1"/>
      <c r="G30">
        <v>1</v>
      </c>
    </row>
    <row r="31" spans="1:10" x14ac:dyDescent="0.2">
      <c r="A31">
        <v>1</v>
      </c>
      <c r="B31" s="1"/>
      <c r="C31" s="1"/>
      <c r="D31">
        <v>1</v>
      </c>
      <c r="E31">
        <v>1800</v>
      </c>
      <c r="F31">
        <f>D31*E31*$E$2</f>
        <v>793.8</v>
      </c>
      <c r="G31">
        <v>0</v>
      </c>
      <c r="H31" t="s">
        <v>81</v>
      </c>
      <c r="I31" t="s">
        <v>78</v>
      </c>
    </row>
    <row r="32" spans="1:10" x14ac:dyDescent="0.2">
      <c r="A32">
        <v>1</v>
      </c>
      <c r="B32" s="1"/>
      <c r="C32" s="1"/>
      <c r="D32">
        <v>1</v>
      </c>
      <c r="E32">
        <v>3000</v>
      </c>
      <c r="F32">
        <f>D32*E32*$E$2</f>
        <v>1323</v>
      </c>
      <c r="G32">
        <v>0</v>
      </c>
      <c r="H32" t="s">
        <v>164</v>
      </c>
    </row>
    <row r="33" spans="1:10" x14ac:dyDescent="0.2">
      <c r="A33">
        <v>1</v>
      </c>
      <c r="B33" s="1" t="s">
        <v>259</v>
      </c>
      <c r="C33" s="1" t="s">
        <v>238</v>
      </c>
      <c r="D33">
        <v>1</v>
      </c>
      <c r="E33">
        <v>50</v>
      </c>
      <c r="F33">
        <f>D33*E33*$E$2</f>
        <v>22.05</v>
      </c>
      <c r="G33">
        <v>2</v>
      </c>
      <c r="H33" s="1" t="s">
        <v>154</v>
      </c>
    </row>
    <row r="34" spans="1:10" x14ac:dyDescent="0.2">
      <c r="A34">
        <v>1</v>
      </c>
      <c r="B34" s="1"/>
      <c r="C34" s="1"/>
      <c r="D34">
        <v>1</v>
      </c>
      <c r="E34">
        <v>6000</v>
      </c>
      <c r="F34">
        <f>D34*E34*$E$2</f>
        <v>2646</v>
      </c>
      <c r="G34">
        <v>0</v>
      </c>
      <c r="H34" s="1" t="s">
        <v>167</v>
      </c>
    </row>
    <row r="35" spans="1:10" x14ac:dyDescent="0.2">
      <c r="A35">
        <v>1</v>
      </c>
      <c r="B35" s="1" t="s">
        <v>277</v>
      </c>
      <c r="C35" s="1" t="s">
        <v>208</v>
      </c>
      <c r="D35">
        <v>1</v>
      </c>
      <c r="E35">
        <v>4000</v>
      </c>
      <c r="F35">
        <f>D35*E35*$E$2</f>
        <v>1764</v>
      </c>
      <c r="G35">
        <v>1</v>
      </c>
      <c r="H35" t="s">
        <v>170</v>
      </c>
      <c r="I35" t="s">
        <v>82</v>
      </c>
      <c r="J35" s="1"/>
    </row>
    <row r="36" spans="1:10" x14ac:dyDescent="0.2">
      <c r="A36" s="1">
        <f>A35</f>
        <v>1</v>
      </c>
      <c r="B36" s="1" t="s">
        <v>208</v>
      </c>
      <c r="C36" s="1" t="s">
        <v>0</v>
      </c>
      <c r="D36" s="1"/>
      <c r="G36">
        <v>2</v>
      </c>
      <c r="J36" s="1"/>
    </row>
    <row r="37" spans="1:10" x14ac:dyDescent="0.2">
      <c r="A37">
        <f>A36</f>
        <v>1</v>
      </c>
      <c r="B37" s="1" t="s">
        <v>208</v>
      </c>
      <c r="C37" s="1" t="s">
        <v>1</v>
      </c>
      <c r="G37">
        <v>-2</v>
      </c>
      <c r="J37" s="1"/>
    </row>
    <row r="38" spans="1:10" x14ac:dyDescent="0.2">
      <c r="A38">
        <v>0</v>
      </c>
      <c r="B38" s="1" t="s">
        <v>277</v>
      </c>
      <c r="C38" s="1" t="s">
        <v>208</v>
      </c>
      <c r="D38">
        <v>1</v>
      </c>
      <c r="E38">
        <v>4000</v>
      </c>
      <c r="F38">
        <f>D38*E38*$E$2*1.5</f>
        <v>2646</v>
      </c>
      <c r="G38">
        <v>-1</v>
      </c>
      <c r="H38" s="1" t="s">
        <v>327</v>
      </c>
      <c r="I38" t="s">
        <v>82</v>
      </c>
    </row>
    <row r="39" spans="1:10" x14ac:dyDescent="0.2">
      <c r="A39">
        <f>A38</f>
        <v>0</v>
      </c>
      <c r="B39" s="1" t="s">
        <v>208</v>
      </c>
      <c r="C39" s="1" t="s">
        <v>0</v>
      </c>
      <c r="D39" s="1"/>
      <c r="G39">
        <v>-2</v>
      </c>
      <c r="H39" s="1"/>
    </row>
    <row r="40" spans="1:10" x14ac:dyDescent="0.2">
      <c r="A40">
        <f>A39</f>
        <v>0</v>
      </c>
      <c r="B40" s="1" t="s">
        <v>208</v>
      </c>
      <c r="C40" s="1" t="s">
        <v>1</v>
      </c>
      <c r="G40">
        <v>2</v>
      </c>
      <c r="H40" s="1"/>
    </row>
    <row r="41" spans="1:10" x14ac:dyDescent="0.2">
      <c r="A41">
        <v>1</v>
      </c>
      <c r="B41" s="1"/>
      <c r="C41" s="1"/>
      <c r="D41">
        <v>0</v>
      </c>
      <c r="E41">
        <v>1800</v>
      </c>
      <c r="F41">
        <f>E41*$E$2*D41</f>
        <v>0</v>
      </c>
      <c r="G41">
        <v>0</v>
      </c>
      <c r="H41" t="s">
        <v>206</v>
      </c>
    </row>
    <row r="42" spans="1:10" x14ac:dyDescent="0.2">
      <c r="A42">
        <v>1</v>
      </c>
      <c r="B42" s="1" t="s">
        <v>259</v>
      </c>
      <c r="C42" s="1" t="s">
        <v>64</v>
      </c>
      <c r="D42">
        <v>0</v>
      </c>
      <c r="E42">
        <v>8400</v>
      </c>
      <c r="F42">
        <f>E42*$E$2*D42</f>
        <v>0</v>
      </c>
      <c r="G42">
        <v>30</v>
      </c>
      <c r="H42" t="s">
        <v>198</v>
      </c>
    </row>
    <row r="43" spans="1:10" x14ac:dyDescent="0.2">
      <c r="A43">
        <v>1</v>
      </c>
      <c r="B43" s="1"/>
      <c r="C43" s="1"/>
      <c r="D43">
        <v>1</v>
      </c>
      <c r="E43">
        <v>12000</v>
      </c>
      <c r="F43">
        <f>E43*$E$2*D43</f>
        <v>5292</v>
      </c>
      <c r="G43">
        <v>0</v>
      </c>
      <c r="H43" t="s">
        <v>553</v>
      </c>
    </row>
    <row r="44" spans="1:10" x14ac:dyDescent="0.2">
      <c r="A44">
        <v>1</v>
      </c>
      <c r="B44" s="1"/>
      <c r="C44" s="1"/>
      <c r="D44">
        <v>2</v>
      </c>
      <c r="E44">
        <v>2000</v>
      </c>
      <c r="F44">
        <f>D44*E44*$E$2</f>
        <v>1764</v>
      </c>
      <c r="G44">
        <v>0</v>
      </c>
      <c r="H44" t="s">
        <v>177</v>
      </c>
    </row>
    <row r="45" spans="1:10" x14ac:dyDescent="0.2">
      <c r="F45">
        <f>SUM(F7:F44)</f>
        <v>122249.61000000003</v>
      </c>
      <c r="H45" t="s">
        <v>6</v>
      </c>
    </row>
    <row r="46" spans="1:10" x14ac:dyDescent="0.2">
      <c r="E46">
        <f>SUM(F2:F4)-F45</f>
        <v>-7549.6100000000297</v>
      </c>
    </row>
  </sheetData>
  <phoneticPr fontId="1" type="noConversion"/>
  <pageMargins left="0.75" right="0.75" top="1" bottom="1" header="0.5" footer="0.5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Bonus!$A$4:$A$34</xm:f>
          </x14:formula1>
          <xm:sqref>B7:B44</xm:sqref>
        </x14:dataValidation>
        <x14:dataValidation type="list" allowBlank="1" showInputMessage="1" showErrorMessage="1">
          <x14:formula1>
            <xm:f>Bonus!$B$2:$AAA$2</xm:f>
          </x14:formula1>
          <xm:sqref>C7:C44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N76"/>
  <sheetViews>
    <sheetView workbookViewId="0">
      <selection activeCell="A84" sqref="A84"/>
    </sheetView>
  </sheetViews>
  <sheetFormatPr defaultColWidth="8.85546875" defaultRowHeight="12.75" x14ac:dyDescent="0.2"/>
  <cols>
    <col min="2" max="2" width="24.7109375" customWidth="1"/>
    <col min="3" max="3" width="9.85546875" customWidth="1"/>
    <col min="5" max="5" width="13" customWidth="1"/>
    <col min="9" max="9" width="5.140625" customWidth="1"/>
    <col min="10" max="10" width="54.28515625" customWidth="1"/>
  </cols>
  <sheetData>
    <row r="3" spans="1:14" x14ac:dyDescent="0.2">
      <c r="A3" s="5" t="s">
        <v>253</v>
      </c>
      <c r="B3" s="5" t="s">
        <v>62</v>
      </c>
      <c r="C3" s="5" t="s">
        <v>291</v>
      </c>
      <c r="D3" s="5" t="s">
        <v>9</v>
      </c>
      <c r="E3" s="5" t="s">
        <v>214</v>
      </c>
      <c r="F3" s="5" t="s">
        <v>252</v>
      </c>
      <c r="G3" s="5" t="s">
        <v>254</v>
      </c>
      <c r="H3" s="5" t="s">
        <v>292</v>
      </c>
      <c r="I3" s="5" t="s">
        <v>85</v>
      </c>
      <c r="J3" s="5" t="s">
        <v>255</v>
      </c>
    </row>
    <row r="4" spans="1:14" x14ac:dyDescent="0.2">
      <c r="A4">
        <v>0</v>
      </c>
      <c r="B4" s="1" t="s">
        <v>202</v>
      </c>
      <c r="C4" s="1">
        <f>A4</f>
        <v>0</v>
      </c>
      <c r="D4">
        <v>5</v>
      </c>
      <c r="E4" s="1" t="s">
        <v>251</v>
      </c>
      <c r="F4" s="1" t="s">
        <v>10</v>
      </c>
      <c r="H4" s="1"/>
      <c r="J4" s="1"/>
    </row>
    <row r="5" spans="1:14" x14ac:dyDescent="0.2">
      <c r="A5">
        <v>0</v>
      </c>
      <c r="B5" s="1" t="s">
        <v>63</v>
      </c>
      <c r="C5" s="1">
        <f>A5</f>
        <v>0</v>
      </c>
      <c r="D5">
        <v>0</v>
      </c>
      <c r="E5" s="1"/>
      <c r="F5" s="1"/>
      <c r="J5" s="1" t="s">
        <v>256</v>
      </c>
    </row>
    <row r="6" spans="1:14" x14ac:dyDescent="0.2">
      <c r="A6">
        <v>1</v>
      </c>
      <c r="B6" s="1" t="s">
        <v>257</v>
      </c>
      <c r="C6" s="1">
        <f>A6</f>
        <v>1</v>
      </c>
      <c r="D6">
        <v>2</v>
      </c>
      <c r="E6" s="1" t="s">
        <v>251</v>
      </c>
      <c r="F6" s="1" t="s">
        <v>0</v>
      </c>
      <c r="J6" s="1"/>
    </row>
    <row r="7" spans="1:14" x14ac:dyDescent="0.2">
      <c r="A7" s="1"/>
      <c r="C7">
        <f>A6</f>
        <v>1</v>
      </c>
      <c r="D7">
        <v>2</v>
      </c>
      <c r="E7" s="1" t="s">
        <v>251</v>
      </c>
      <c r="F7" s="1" t="s">
        <v>1</v>
      </c>
    </row>
    <row r="8" spans="1:14" x14ac:dyDescent="0.2">
      <c r="A8" s="1" t="s">
        <v>74</v>
      </c>
      <c r="C8">
        <f>A6</f>
        <v>1</v>
      </c>
      <c r="D8">
        <v>5</v>
      </c>
      <c r="E8" s="1" t="s">
        <v>251</v>
      </c>
      <c r="F8" s="1" t="s">
        <v>64</v>
      </c>
    </row>
    <row r="9" spans="1:14" x14ac:dyDescent="0.2">
      <c r="A9" s="1">
        <v>0</v>
      </c>
      <c r="B9" t="s">
        <v>545</v>
      </c>
      <c r="C9">
        <f>A9</f>
        <v>0</v>
      </c>
      <c r="D9">
        <v>5</v>
      </c>
      <c r="E9" s="1" t="s">
        <v>277</v>
      </c>
      <c r="F9" s="1" t="s">
        <v>217</v>
      </c>
      <c r="J9" s="1"/>
      <c r="N9" s="4"/>
    </row>
    <row r="10" spans="1:14" x14ac:dyDescent="0.2">
      <c r="A10" s="1">
        <v>1</v>
      </c>
      <c r="B10" s="1" t="s">
        <v>290</v>
      </c>
      <c r="C10">
        <f>A10</f>
        <v>1</v>
      </c>
      <c r="D10">
        <v>1</v>
      </c>
      <c r="E10" s="1" t="s">
        <v>277</v>
      </c>
      <c r="F10" s="1" t="s">
        <v>238</v>
      </c>
      <c r="J10" s="1" t="s">
        <v>304</v>
      </c>
    </row>
    <row r="11" spans="1:14" x14ac:dyDescent="0.2">
      <c r="C11">
        <f>A10</f>
        <v>1</v>
      </c>
      <c r="D11">
        <v>1</v>
      </c>
      <c r="E11" s="1" t="s">
        <v>27</v>
      </c>
      <c r="F11" s="1" t="s">
        <v>18</v>
      </c>
    </row>
    <row r="12" spans="1:14" x14ac:dyDescent="0.2">
      <c r="C12">
        <f>A10</f>
        <v>1</v>
      </c>
      <c r="D12">
        <v>1</v>
      </c>
      <c r="E12" s="1" t="s">
        <v>27</v>
      </c>
      <c r="F12" s="1" t="s">
        <v>12</v>
      </c>
    </row>
    <row r="13" spans="1:14" x14ac:dyDescent="0.2">
      <c r="C13">
        <f>A10</f>
        <v>1</v>
      </c>
      <c r="D13">
        <f>MIN(30,Bonus!L4)</f>
        <v>30</v>
      </c>
      <c r="E13" s="1" t="s">
        <v>259</v>
      </c>
      <c r="F13" s="1" t="s">
        <v>64</v>
      </c>
    </row>
    <row r="14" spans="1:14" x14ac:dyDescent="0.2">
      <c r="A14">
        <v>0</v>
      </c>
      <c r="B14" s="1" t="s">
        <v>293</v>
      </c>
      <c r="C14">
        <f>A14</f>
        <v>0</v>
      </c>
      <c r="D14">
        <v>0</v>
      </c>
      <c r="E14" s="1"/>
      <c r="F14" s="1"/>
      <c r="J14" s="1" t="s">
        <v>294</v>
      </c>
    </row>
    <row r="15" spans="1:14" x14ac:dyDescent="0.2">
      <c r="A15">
        <v>1</v>
      </c>
      <c r="B15" s="1" t="s">
        <v>295</v>
      </c>
      <c r="C15">
        <f>A15</f>
        <v>1</v>
      </c>
      <c r="D15">
        <v>4</v>
      </c>
      <c r="E15" s="1" t="s">
        <v>259</v>
      </c>
      <c r="F15" s="1" t="s">
        <v>296</v>
      </c>
      <c r="J15" s="1" t="s">
        <v>297</v>
      </c>
    </row>
    <row r="16" spans="1:14" x14ac:dyDescent="0.2">
      <c r="C16">
        <f>A15</f>
        <v>1</v>
      </c>
      <c r="D16">
        <v>4</v>
      </c>
      <c r="E16" s="1" t="s">
        <v>259</v>
      </c>
      <c r="F16" s="1" t="s">
        <v>298</v>
      </c>
    </row>
    <row r="17" spans="1:10" x14ac:dyDescent="0.2">
      <c r="C17">
        <f>A15</f>
        <v>1</v>
      </c>
      <c r="D17">
        <v>4</v>
      </c>
      <c r="E17" s="1" t="s">
        <v>259</v>
      </c>
      <c r="F17" s="1" t="s">
        <v>299</v>
      </c>
    </row>
    <row r="18" spans="1:10" x14ac:dyDescent="0.2">
      <c r="A18">
        <v>1</v>
      </c>
      <c r="B18" s="1" t="s">
        <v>65</v>
      </c>
      <c r="C18">
        <f>A18</f>
        <v>1</v>
      </c>
      <c r="D18">
        <v>5</v>
      </c>
      <c r="E18" s="1" t="s">
        <v>268</v>
      </c>
      <c r="F18" s="1" t="s">
        <v>18</v>
      </c>
    </row>
    <row r="19" spans="1:10" x14ac:dyDescent="0.2">
      <c r="A19">
        <v>0</v>
      </c>
      <c r="B19" s="1" t="s">
        <v>300</v>
      </c>
      <c r="C19">
        <f>A19</f>
        <v>0</v>
      </c>
      <c r="D19">
        <v>1</v>
      </c>
      <c r="E19" s="1" t="s">
        <v>251</v>
      </c>
      <c r="F19" s="1" t="s">
        <v>238</v>
      </c>
    </row>
    <row r="20" spans="1:10" x14ac:dyDescent="0.2">
      <c r="C20">
        <f>A19</f>
        <v>0</v>
      </c>
      <c r="D20">
        <v>1</v>
      </c>
      <c r="E20" s="1" t="s">
        <v>251</v>
      </c>
      <c r="F20" s="1" t="s">
        <v>301</v>
      </c>
    </row>
    <row r="21" spans="1:10" x14ac:dyDescent="0.2">
      <c r="A21">
        <v>0</v>
      </c>
      <c r="B21" s="1" t="s">
        <v>302</v>
      </c>
      <c r="C21">
        <f>A21</f>
        <v>0</v>
      </c>
      <c r="D21">
        <v>1</v>
      </c>
      <c r="E21" s="1" t="s">
        <v>270</v>
      </c>
      <c r="F21" s="1" t="s">
        <v>238</v>
      </c>
    </row>
    <row r="22" spans="1:10" x14ac:dyDescent="0.2">
      <c r="B22" s="1"/>
      <c r="C22">
        <f>A21</f>
        <v>0</v>
      </c>
      <c r="D22">
        <v>1</v>
      </c>
      <c r="E22" s="1" t="s">
        <v>270</v>
      </c>
      <c r="F22" s="1" t="s">
        <v>287</v>
      </c>
    </row>
    <row r="23" spans="1:10" x14ac:dyDescent="0.2">
      <c r="B23" s="1"/>
      <c r="C23">
        <f>A21</f>
        <v>0</v>
      </c>
      <c r="D23">
        <v>1</v>
      </c>
      <c r="E23" s="1" t="s">
        <v>270</v>
      </c>
      <c r="F23" s="1" t="s">
        <v>10</v>
      </c>
    </row>
    <row r="24" spans="1:10" x14ac:dyDescent="0.2">
      <c r="B24" s="1"/>
      <c r="C24">
        <f>A21</f>
        <v>0</v>
      </c>
      <c r="D24">
        <v>1</v>
      </c>
      <c r="E24" s="1" t="s">
        <v>270</v>
      </c>
      <c r="F24" s="1" t="s">
        <v>303</v>
      </c>
    </row>
    <row r="25" spans="1:10" x14ac:dyDescent="0.2">
      <c r="A25">
        <v>0</v>
      </c>
      <c r="B25" s="1" t="s">
        <v>68</v>
      </c>
      <c r="C25">
        <f t="shared" ref="C25:C31" si="0">A25</f>
        <v>0</v>
      </c>
      <c r="D25">
        <v>0</v>
      </c>
      <c r="E25" s="1"/>
      <c r="F25" s="1"/>
      <c r="J25" s="1" t="s">
        <v>332</v>
      </c>
    </row>
    <row r="26" spans="1:10" x14ac:dyDescent="0.2">
      <c r="A26">
        <v>1</v>
      </c>
      <c r="B26" s="1" t="s">
        <v>333</v>
      </c>
      <c r="C26">
        <f t="shared" si="0"/>
        <v>1</v>
      </c>
      <c r="D26">
        <v>0</v>
      </c>
      <c r="E26" s="1"/>
      <c r="F26" s="1"/>
      <c r="J26" s="1" t="s">
        <v>334</v>
      </c>
    </row>
    <row r="27" spans="1:10" x14ac:dyDescent="0.2">
      <c r="A27">
        <v>0</v>
      </c>
      <c r="B27" s="1" t="s">
        <v>70</v>
      </c>
      <c r="C27">
        <f t="shared" si="0"/>
        <v>0</v>
      </c>
      <c r="D27">
        <v>0</v>
      </c>
      <c r="E27" s="1"/>
      <c r="F27" s="1"/>
      <c r="J27" s="1" t="s">
        <v>335</v>
      </c>
    </row>
    <row r="28" spans="1:10" x14ac:dyDescent="0.2">
      <c r="A28">
        <v>1</v>
      </c>
      <c r="B28" t="s">
        <v>165</v>
      </c>
      <c r="C28">
        <f t="shared" si="0"/>
        <v>1</v>
      </c>
      <c r="D28">
        <v>30</v>
      </c>
      <c r="J28" s="1" t="s">
        <v>336</v>
      </c>
    </row>
    <row r="29" spans="1:10" x14ac:dyDescent="0.2">
      <c r="A29">
        <v>0</v>
      </c>
      <c r="B29" t="s">
        <v>166</v>
      </c>
      <c r="C29">
        <f t="shared" si="0"/>
        <v>0</v>
      </c>
      <c r="D29">
        <v>10</v>
      </c>
      <c r="J29" s="1" t="s">
        <v>337</v>
      </c>
    </row>
    <row r="30" spans="1:10" x14ac:dyDescent="0.2">
      <c r="A30">
        <v>0</v>
      </c>
      <c r="B30" t="s">
        <v>66</v>
      </c>
      <c r="C30">
        <f t="shared" si="0"/>
        <v>0</v>
      </c>
      <c r="D30">
        <v>30</v>
      </c>
      <c r="J30" s="1" t="s">
        <v>336</v>
      </c>
    </row>
    <row r="31" spans="1:10" x14ac:dyDescent="0.2">
      <c r="A31">
        <v>0</v>
      </c>
      <c r="B31" t="s">
        <v>69</v>
      </c>
      <c r="C31">
        <f t="shared" si="0"/>
        <v>0</v>
      </c>
      <c r="D31">
        <v>2</v>
      </c>
      <c r="E31" s="1" t="s">
        <v>274</v>
      </c>
      <c r="F31" s="1" t="s">
        <v>10</v>
      </c>
    </row>
    <row r="32" spans="1:10" x14ac:dyDescent="0.2">
      <c r="C32">
        <f>A31</f>
        <v>0</v>
      </c>
      <c r="D32">
        <v>2</v>
      </c>
      <c r="E32" s="1" t="s">
        <v>268</v>
      </c>
      <c r="F32" s="1" t="s">
        <v>18</v>
      </c>
      <c r="J32" s="1" t="s">
        <v>338</v>
      </c>
    </row>
    <row r="33" spans="1:10" x14ac:dyDescent="0.2">
      <c r="A33">
        <v>0</v>
      </c>
      <c r="B33" t="s">
        <v>71</v>
      </c>
      <c r="C33">
        <f>A33</f>
        <v>0</v>
      </c>
      <c r="D33">
        <v>0</v>
      </c>
      <c r="J33" s="1" t="s">
        <v>339</v>
      </c>
    </row>
    <row r="34" spans="1:10" x14ac:dyDescent="0.2">
      <c r="A34">
        <v>1</v>
      </c>
      <c r="B34" t="s">
        <v>72</v>
      </c>
      <c r="C34">
        <f>A34</f>
        <v>1</v>
      </c>
      <c r="D34">
        <v>0</v>
      </c>
      <c r="J34" s="1" t="s">
        <v>340</v>
      </c>
    </row>
    <row r="35" spans="1:10" x14ac:dyDescent="0.2">
      <c r="A35">
        <v>0</v>
      </c>
      <c r="B35" s="1" t="s">
        <v>342</v>
      </c>
      <c r="C35">
        <f>A35</f>
        <v>0</v>
      </c>
      <c r="D35">
        <v>2</v>
      </c>
      <c r="E35" s="1" t="s">
        <v>251</v>
      </c>
      <c r="F35" s="1" t="s">
        <v>10</v>
      </c>
      <c r="J35" s="1" t="s">
        <v>341</v>
      </c>
    </row>
    <row r="36" spans="1:10" x14ac:dyDescent="0.2">
      <c r="B36" s="1"/>
      <c r="C36">
        <f>A35</f>
        <v>0</v>
      </c>
      <c r="D36">
        <v>2</v>
      </c>
      <c r="E36" s="1" t="s">
        <v>251</v>
      </c>
      <c r="F36" s="1" t="s">
        <v>287</v>
      </c>
      <c r="J36" s="1" t="s">
        <v>343</v>
      </c>
    </row>
    <row r="37" spans="1:10" x14ac:dyDescent="0.2">
      <c r="B37" s="1"/>
      <c r="C37">
        <f>A35</f>
        <v>0</v>
      </c>
      <c r="D37">
        <v>2</v>
      </c>
      <c r="E37" s="1" t="s">
        <v>251</v>
      </c>
      <c r="F37" s="1" t="s">
        <v>238</v>
      </c>
      <c r="J37" s="1"/>
    </row>
    <row r="38" spans="1:10" x14ac:dyDescent="0.2">
      <c r="A38">
        <v>0</v>
      </c>
      <c r="B38" t="s">
        <v>73</v>
      </c>
      <c r="C38">
        <f>A38</f>
        <v>0</v>
      </c>
      <c r="D38">
        <v>10</v>
      </c>
      <c r="E38" s="1" t="s">
        <v>251</v>
      </c>
      <c r="F38" s="1" t="s">
        <v>10</v>
      </c>
      <c r="J38" s="1" t="s">
        <v>344</v>
      </c>
    </row>
    <row r="39" spans="1:10" x14ac:dyDescent="0.2">
      <c r="A39">
        <v>0</v>
      </c>
      <c r="B39" t="s">
        <v>158</v>
      </c>
      <c r="C39">
        <f>A39</f>
        <v>0</v>
      </c>
      <c r="D39">
        <v>4</v>
      </c>
      <c r="E39" s="1" t="s">
        <v>275</v>
      </c>
      <c r="F39" s="1" t="s">
        <v>10</v>
      </c>
      <c r="J39" s="1" t="s">
        <v>345</v>
      </c>
    </row>
    <row r="40" spans="1:10" x14ac:dyDescent="0.2">
      <c r="A40">
        <v>1</v>
      </c>
      <c r="B40" t="s">
        <v>159</v>
      </c>
      <c r="C40">
        <f>A40</f>
        <v>1</v>
      </c>
      <c r="D40">
        <v>5</v>
      </c>
      <c r="E40" s="1" t="s">
        <v>259</v>
      </c>
      <c r="F40" s="1" t="s">
        <v>238</v>
      </c>
      <c r="I40" s="1"/>
    </row>
    <row r="41" spans="1:10" x14ac:dyDescent="0.2">
      <c r="C41">
        <f>A40</f>
        <v>1</v>
      </c>
      <c r="D41">
        <v>5</v>
      </c>
      <c r="E41" s="1" t="s">
        <v>259</v>
      </c>
      <c r="F41" s="1" t="s">
        <v>287</v>
      </c>
      <c r="I41" s="1"/>
    </row>
    <row r="42" spans="1:10" x14ac:dyDescent="0.2">
      <c r="A42" s="1">
        <v>0</v>
      </c>
      <c r="B42" t="s">
        <v>160</v>
      </c>
      <c r="C42">
        <f>A42</f>
        <v>0</v>
      </c>
      <c r="D42">
        <v>0</v>
      </c>
      <c r="J42" s="1" t="s">
        <v>346</v>
      </c>
    </row>
    <row r="43" spans="1:10" x14ac:dyDescent="0.2">
      <c r="A43">
        <v>0</v>
      </c>
      <c r="B43" t="s">
        <v>161</v>
      </c>
      <c r="C43">
        <f>A43</f>
        <v>0</v>
      </c>
      <c r="D43">
        <v>0</v>
      </c>
      <c r="J43" s="1" t="s">
        <v>162</v>
      </c>
    </row>
    <row r="44" spans="1:10" x14ac:dyDescent="0.2">
      <c r="A44">
        <v>0</v>
      </c>
      <c r="B44" t="s">
        <v>163</v>
      </c>
      <c r="C44">
        <f>A44</f>
        <v>0</v>
      </c>
      <c r="D44">
        <v>0</v>
      </c>
      <c r="J44" s="1" t="s">
        <v>347</v>
      </c>
    </row>
    <row r="45" spans="1:10" x14ac:dyDescent="0.2">
      <c r="A45">
        <v>0</v>
      </c>
      <c r="B45" t="s">
        <v>176</v>
      </c>
      <c r="C45">
        <f>A45</f>
        <v>0</v>
      </c>
      <c r="D45" s="1">
        <v>0</v>
      </c>
      <c r="J45" s="1" t="s">
        <v>348</v>
      </c>
    </row>
    <row r="46" spans="1:10" x14ac:dyDescent="0.2">
      <c r="A46">
        <v>0</v>
      </c>
      <c r="B46" t="s">
        <v>179</v>
      </c>
      <c r="C46">
        <f>A46</f>
        <v>0</v>
      </c>
      <c r="D46">
        <v>2</v>
      </c>
      <c r="E46" s="1" t="s">
        <v>259</v>
      </c>
      <c r="F46" s="1" t="s">
        <v>238</v>
      </c>
      <c r="J46" s="1" t="s">
        <v>349</v>
      </c>
    </row>
    <row r="47" spans="1:10" x14ac:dyDescent="0.2">
      <c r="C47">
        <f>A46</f>
        <v>0</v>
      </c>
      <c r="D47">
        <v>2</v>
      </c>
      <c r="E47" s="1" t="s">
        <v>259</v>
      </c>
      <c r="F47" s="1" t="s">
        <v>287</v>
      </c>
    </row>
    <row r="48" spans="1:10" x14ac:dyDescent="0.2">
      <c r="A48">
        <v>0</v>
      </c>
      <c r="B48" t="s">
        <v>181</v>
      </c>
      <c r="C48">
        <f>A48</f>
        <v>0</v>
      </c>
      <c r="D48">
        <v>0</v>
      </c>
      <c r="J48" s="1" t="s">
        <v>350</v>
      </c>
    </row>
    <row r="49" spans="1:10" x14ac:dyDescent="0.2">
      <c r="A49">
        <v>0</v>
      </c>
      <c r="B49" s="1" t="s">
        <v>351</v>
      </c>
      <c r="C49">
        <f>A49</f>
        <v>0</v>
      </c>
      <c r="D49">
        <v>0</v>
      </c>
      <c r="J49" t="s">
        <v>182</v>
      </c>
    </row>
    <row r="50" spans="1:10" x14ac:dyDescent="0.2">
      <c r="A50">
        <v>0</v>
      </c>
      <c r="B50" s="1" t="s">
        <v>352</v>
      </c>
      <c r="C50" s="1">
        <f>A50</f>
        <v>0</v>
      </c>
      <c r="D50">
        <v>0</v>
      </c>
      <c r="J50" s="1" t="s">
        <v>353</v>
      </c>
    </row>
    <row r="51" spans="1:10" x14ac:dyDescent="0.2">
      <c r="A51">
        <v>1</v>
      </c>
      <c r="B51" t="s">
        <v>184</v>
      </c>
      <c r="C51" s="1">
        <f>A51</f>
        <v>1</v>
      </c>
      <c r="D51">
        <v>4</v>
      </c>
      <c r="E51" s="1" t="s">
        <v>251</v>
      </c>
      <c r="F51" s="1" t="s">
        <v>10</v>
      </c>
      <c r="J51" t="s">
        <v>185</v>
      </c>
    </row>
    <row r="52" spans="1:10" x14ac:dyDescent="0.2">
      <c r="C52" s="1">
        <f>A51</f>
        <v>1</v>
      </c>
      <c r="D52">
        <v>4</v>
      </c>
      <c r="E52" s="1" t="s">
        <v>251</v>
      </c>
      <c r="F52" s="1" t="s">
        <v>238</v>
      </c>
    </row>
    <row r="53" spans="1:10" x14ac:dyDescent="0.2">
      <c r="C53" s="1">
        <f>A51</f>
        <v>1</v>
      </c>
      <c r="D53">
        <v>4</v>
      </c>
      <c r="E53" s="1" t="s">
        <v>251</v>
      </c>
      <c r="F53" s="1" t="s">
        <v>303</v>
      </c>
    </row>
    <row r="54" spans="1:10" x14ac:dyDescent="0.2">
      <c r="A54">
        <v>0</v>
      </c>
      <c r="B54" t="s">
        <v>186</v>
      </c>
      <c r="C54">
        <f>A54</f>
        <v>0</v>
      </c>
      <c r="D54">
        <v>0</v>
      </c>
      <c r="J54" t="s">
        <v>187</v>
      </c>
    </row>
    <row r="55" spans="1:10" x14ac:dyDescent="0.2">
      <c r="A55">
        <v>0</v>
      </c>
      <c r="B55" t="s">
        <v>188</v>
      </c>
      <c r="C55">
        <f>A55</f>
        <v>0</v>
      </c>
      <c r="D55">
        <v>4</v>
      </c>
      <c r="E55" s="1" t="s">
        <v>259</v>
      </c>
      <c r="F55" s="1" t="s">
        <v>0</v>
      </c>
      <c r="J55" s="1" t="s">
        <v>354</v>
      </c>
    </row>
    <row r="56" spans="1:10" x14ac:dyDescent="0.2">
      <c r="C56">
        <f>A55</f>
        <v>0</v>
      </c>
      <c r="D56">
        <v>4</v>
      </c>
      <c r="E56" s="1" t="s">
        <v>259</v>
      </c>
      <c r="F56" s="1" t="s">
        <v>3</v>
      </c>
    </row>
    <row r="57" spans="1:10" x14ac:dyDescent="0.2">
      <c r="C57">
        <v>1</v>
      </c>
      <c r="D57">
        <v>4</v>
      </c>
      <c r="E57" s="1" t="s">
        <v>259</v>
      </c>
      <c r="F57" s="1" t="s">
        <v>5</v>
      </c>
    </row>
    <row r="58" spans="1:10" x14ac:dyDescent="0.2">
      <c r="C58">
        <f>A55</f>
        <v>0</v>
      </c>
      <c r="D58">
        <v>4</v>
      </c>
      <c r="E58" s="1" t="s">
        <v>271</v>
      </c>
      <c r="F58" s="1" t="s">
        <v>18</v>
      </c>
    </row>
    <row r="59" spans="1:10" x14ac:dyDescent="0.2">
      <c r="A59">
        <v>0</v>
      </c>
      <c r="B59" t="s">
        <v>189</v>
      </c>
      <c r="C59">
        <f t="shared" ref="C59:C67" si="1">A59</f>
        <v>0</v>
      </c>
      <c r="D59">
        <v>0</v>
      </c>
      <c r="J59" t="s">
        <v>190</v>
      </c>
    </row>
    <row r="60" spans="1:10" x14ac:dyDescent="0.2">
      <c r="A60">
        <v>0</v>
      </c>
      <c r="B60" t="s">
        <v>200</v>
      </c>
      <c r="C60">
        <f t="shared" si="1"/>
        <v>0</v>
      </c>
      <c r="D60">
        <v>0</v>
      </c>
      <c r="J60" t="s">
        <v>201</v>
      </c>
    </row>
    <row r="61" spans="1:10" x14ac:dyDescent="0.2">
      <c r="A61">
        <v>1</v>
      </c>
      <c r="B61" t="s">
        <v>203</v>
      </c>
      <c r="C61">
        <f t="shared" si="1"/>
        <v>1</v>
      </c>
      <c r="D61">
        <v>0</v>
      </c>
      <c r="J61" t="s">
        <v>204</v>
      </c>
    </row>
    <row r="62" spans="1:10" x14ac:dyDescent="0.2">
      <c r="A62">
        <v>0</v>
      </c>
      <c r="B62" t="s">
        <v>205</v>
      </c>
      <c r="C62">
        <f t="shared" si="1"/>
        <v>0</v>
      </c>
      <c r="D62">
        <v>0</v>
      </c>
      <c r="J62" s="1" t="s">
        <v>355</v>
      </c>
    </row>
    <row r="63" spans="1:10" x14ac:dyDescent="0.2">
      <c r="A63">
        <v>1</v>
      </c>
      <c r="B63" t="s">
        <v>543</v>
      </c>
      <c r="C63">
        <f t="shared" si="1"/>
        <v>1</v>
      </c>
      <c r="D63">
        <v>0</v>
      </c>
      <c r="J63" t="s">
        <v>544</v>
      </c>
    </row>
    <row r="64" spans="1:10" x14ac:dyDescent="0.2">
      <c r="A64">
        <v>1</v>
      </c>
      <c r="B64" t="s">
        <v>546</v>
      </c>
      <c r="C64">
        <f t="shared" si="1"/>
        <v>1</v>
      </c>
      <c r="D64">
        <v>0</v>
      </c>
      <c r="J64" t="s">
        <v>547</v>
      </c>
    </row>
    <row r="65" spans="1:10" x14ac:dyDescent="0.2">
      <c r="A65">
        <v>0</v>
      </c>
      <c r="B65" t="s">
        <v>548</v>
      </c>
      <c r="C65">
        <f t="shared" si="1"/>
        <v>0</v>
      </c>
      <c r="D65">
        <v>0</v>
      </c>
      <c r="J65" t="s">
        <v>549</v>
      </c>
    </row>
    <row r="66" spans="1:10" x14ac:dyDescent="0.2">
      <c r="A66">
        <v>0</v>
      </c>
      <c r="B66" t="s">
        <v>550</v>
      </c>
      <c r="C66">
        <f t="shared" si="1"/>
        <v>0</v>
      </c>
      <c r="D66">
        <v>0</v>
      </c>
      <c r="J66" t="s">
        <v>551</v>
      </c>
    </row>
    <row r="67" spans="1:10" x14ac:dyDescent="0.2">
      <c r="A67">
        <v>0</v>
      </c>
      <c r="C67">
        <f t="shared" si="1"/>
        <v>0</v>
      </c>
    </row>
    <row r="68" spans="1:10" x14ac:dyDescent="0.2">
      <c r="A68">
        <v>1</v>
      </c>
      <c r="B68" t="s">
        <v>554</v>
      </c>
      <c r="C68">
        <v>1</v>
      </c>
      <c r="D68">
        <v>5</v>
      </c>
      <c r="E68" s="1" t="s">
        <v>271</v>
      </c>
      <c r="F68" s="1" t="s">
        <v>18</v>
      </c>
    </row>
    <row r="69" spans="1:10" x14ac:dyDescent="0.2">
      <c r="A69">
        <v>1</v>
      </c>
      <c r="C69">
        <f>A68</f>
        <v>1</v>
      </c>
      <c r="D69">
        <v>5</v>
      </c>
      <c r="E69" s="1"/>
      <c r="F69" s="1"/>
      <c r="J69" t="s">
        <v>561</v>
      </c>
    </row>
    <row r="70" spans="1:10" x14ac:dyDescent="0.2">
      <c r="A70">
        <v>0</v>
      </c>
      <c r="B70" t="s">
        <v>556</v>
      </c>
      <c r="J70" t="s">
        <v>557</v>
      </c>
    </row>
    <row r="71" spans="1:10" x14ac:dyDescent="0.2">
      <c r="A71">
        <v>0</v>
      </c>
      <c r="B71" t="s">
        <v>555</v>
      </c>
    </row>
    <row r="72" spans="1:10" x14ac:dyDescent="0.2">
      <c r="A72">
        <v>0</v>
      </c>
      <c r="B72" t="s">
        <v>558</v>
      </c>
    </row>
    <row r="73" spans="1:10" x14ac:dyDescent="0.2">
      <c r="A73">
        <v>0</v>
      </c>
      <c r="B73" t="s">
        <v>559</v>
      </c>
      <c r="J73" t="s">
        <v>560</v>
      </c>
    </row>
    <row r="74" spans="1:10" x14ac:dyDescent="0.2">
      <c r="A74">
        <v>0</v>
      </c>
      <c r="B74" t="s">
        <v>562</v>
      </c>
      <c r="C74">
        <v>1</v>
      </c>
      <c r="D74">
        <v>20</v>
      </c>
      <c r="J74" t="s">
        <v>563</v>
      </c>
    </row>
    <row r="75" spans="1:10" x14ac:dyDescent="0.2">
      <c r="A75">
        <v>0</v>
      </c>
      <c r="B75" t="s">
        <v>564</v>
      </c>
      <c r="C75">
        <v>1</v>
      </c>
      <c r="D75">
        <v>6</v>
      </c>
      <c r="E75" s="1" t="s">
        <v>259</v>
      </c>
      <c r="F75" s="1" t="s">
        <v>4</v>
      </c>
    </row>
    <row r="76" spans="1:10" x14ac:dyDescent="0.2">
      <c r="A76">
        <v>1</v>
      </c>
      <c r="B76" t="s">
        <v>566</v>
      </c>
      <c r="C76">
        <v>1</v>
      </c>
      <c r="E76" t="s">
        <v>74</v>
      </c>
      <c r="J76" t="s">
        <v>567</v>
      </c>
    </row>
  </sheetData>
  <dataValidations count="1">
    <dataValidation type="list" allowBlank="1" showInputMessage="1" showErrorMessage="1" sqref="E31:E32 E55:E58 E68:E69 E51:E53 E46:E47 E35:E41 E75">
      <formula1>$A$4:$A$33</formula1>
    </dataValidation>
  </dataValidations>
  <pageMargins left="0.7" right="0.7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Bonus!$A$4:$A$34</xm:f>
          </x14:formula1>
          <xm:sqref>E4:E27</xm:sqref>
        </x14:dataValidation>
        <x14:dataValidation type="list" allowBlank="1" showInputMessage="1" showErrorMessage="1">
          <x14:formula1>
            <xm:f>Bonus!$B$2:$AAA$2</xm:f>
          </x14:formula1>
          <xm:sqref>F4:F27 F31:F32 F35:F41 F46:F47 F51:F53 F55:F58 F68:F69 F75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33"/>
  <sheetViews>
    <sheetView zoomScale="90" zoomScaleNormal="90" zoomScalePageLayoutView="90" workbookViewId="0">
      <selection activeCell="H20" sqref="H20"/>
    </sheetView>
  </sheetViews>
  <sheetFormatPr defaultColWidth="8.85546875" defaultRowHeight="12.75" x14ac:dyDescent="0.2"/>
  <cols>
    <col min="1" max="1" width="11.85546875" customWidth="1"/>
    <col min="10" max="10" width="9.7109375" customWidth="1"/>
  </cols>
  <sheetData>
    <row r="1" spans="1:27" x14ac:dyDescent="0.2">
      <c r="A1" s="1"/>
      <c r="V1" s="1"/>
    </row>
    <row r="2" spans="1:27" x14ac:dyDescent="0.2">
      <c r="A2" s="5" t="s">
        <v>216</v>
      </c>
      <c r="B2" s="5" t="s">
        <v>0</v>
      </c>
      <c r="C2" s="5" t="s">
        <v>1</v>
      </c>
      <c r="D2" s="5" t="s">
        <v>3</v>
      </c>
      <c r="E2" s="5" t="s">
        <v>2</v>
      </c>
      <c r="F2" s="5" t="s">
        <v>4</v>
      </c>
      <c r="G2" s="5" t="s">
        <v>5</v>
      </c>
      <c r="H2" s="5" t="s">
        <v>18</v>
      </c>
      <c r="I2" s="5" t="s">
        <v>238</v>
      </c>
      <c r="J2" s="5" t="s">
        <v>287</v>
      </c>
      <c r="K2" s="5" t="s">
        <v>217</v>
      </c>
      <c r="L2" s="5" t="s">
        <v>64</v>
      </c>
      <c r="M2" s="5" t="s">
        <v>11</v>
      </c>
      <c r="N2" s="5" t="s">
        <v>12</v>
      </c>
      <c r="O2" s="5" t="s">
        <v>13</v>
      </c>
      <c r="P2" s="5" t="s">
        <v>14</v>
      </c>
      <c r="Q2" s="5" t="s">
        <v>310</v>
      </c>
      <c r="R2" s="5" t="s">
        <v>311</v>
      </c>
      <c r="S2" s="5" t="s">
        <v>208</v>
      </c>
      <c r="T2" s="5" t="s">
        <v>10</v>
      </c>
      <c r="U2" s="5" t="s">
        <v>303</v>
      </c>
      <c r="V2" s="5" t="s">
        <v>296</v>
      </c>
      <c r="W2" s="5" t="s">
        <v>298</v>
      </c>
      <c r="X2" s="5" t="s">
        <v>299</v>
      </c>
      <c r="Y2" s="5" t="s">
        <v>301</v>
      </c>
      <c r="Z2" s="5" t="s">
        <v>528</v>
      </c>
      <c r="AA2" s="5" t="s">
        <v>542</v>
      </c>
    </row>
    <row r="3" spans="1:27" x14ac:dyDescent="0.2">
      <c r="A3" s="5" t="s">
        <v>6</v>
      </c>
      <c r="B3" s="7">
        <f>SUM(B4:B300)</f>
        <v>9</v>
      </c>
      <c r="C3" s="7">
        <f t="shared" ref="C3:R3" si="0">SUM(C4:C300)</f>
        <v>3</v>
      </c>
      <c r="D3" s="7">
        <f t="shared" si="0"/>
        <v>5</v>
      </c>
      <c r="E3" s="7">
        <f t="shared" si="0"/>
        <v>0</v>
      </c>
      <c r="F3" s="7">
        <f t="shared" si="0"/>
        <v>6</v>
      </c>
      <c r="G3" s="7">
        <f t="shared" si="0"/>
        <v>4</v>
      </c>
      <c r="H3" s="7">
        <f t="shared" si="0"/>
        <v>38</v>
      </c>
      <c r="I3" s="7">
        <f t="shared" si="0"/>
        <v>23</v>
      </c>
      <c r="J3" s="7">
        <f t="shared" si="0"/>
        <v>5</v>
      </c>
      <c r="K3" s="7">
        <f t="shared" si="0"/>
        <v>0</v>
      </c>
      <c r="L3" s="7">
        <f t="shared" si="0"/>
        <v>75</v>
      </c>
      <c r="M3" s="7">
        <f t="shared" si="0"/>
        <v>19</v>
      </c>
      <c r="N3" s="7">
        <f t="shared" si="0"/>
        <v>17</v>
      </c>
      <c r="O3" s="7">
        <f t="shared" si="0"/>
        <v>7</v>
      </c>
      <c r="P3" s="7">
        <f t="shared" si="0"/>
        <v>73</v>
      </c>
      <c r="Q3" s="7">
        <f t="shared" si="0"/>
        <v>0</v>
      </c>
      <c r="R3" s="7">
        <f t="shared" si="0"/>
        <v>0</v>
      </c>
      <c r="S3" s="7">
        <f t="shared" ref="S3" si="1">SUM(S4:S300)</f>
        <v>1</v>
      </c>
      <c r="T3" s="7">
        <f t="shared" ref="T3" si="2">SUM(T4:T300)</f>
        <v>4</v>
      </c>
      <c r="U3" s="7">
        <f t="shared" ref="U3" si="3">SUM(U4:U300)</f>
        <v>6</v>
      </c>
      <c r="V3" s="7">
        <f t="shared" ref="V3" si="4">SUM(V4:V300)</f>
        <v>4</v>
      </c>
      <c r="W3" s="7">
        <f t="shared" ref="W3" si="5">SUM(W4:W300)</f>
        <v>4</v>
      </c>
      <c r="X3" s="7">
        <f t="shared" ref="X3" si="6">SUM(X4:X300)</f>
        <v>4</v>
      </c>
      <c r="Y3" s="7">
        <f t="shared" ref="Y3:AA3" si="7">SUM(Y4:Y300)</f>
        <v>0</v>
      </c>
      <c r="Z3" s="7">
        <f t="shared" si="7"/>
        <v>1</v>
      </c>
      <c r="AA3" s="7">
        <f t="shared" si="7"/>
        <v>2</v>
      </c>
    </row>
    <row r="4" spans="1:27" x14ac:dyDescent="0.2">
      <c r="A4" s="5" t="s">
        <v>213</v>
      </c>
      <c r="B4" s="8">
        <f>INDEX(Races!$A$2:$ZY$2499, MATCH(Character!$C$4,Races!$A$2:$A$2299,0), MATCH(B2,Races!$A$2:$ZY$2,0))</f>
        <v>0</v>
      </c>
      <c r="C4" s="8">
        <f>INDEX(Races!$A$2:$ZY$2499, MATCH(Character!$C$4,Races!$A$2:$A$2299,0), MATCH(C2,Races!$A$2:$ZY$2,0))</f>
        <v>0</v>
      </c>
      <c r="D4" s="8">
        <f>INDEX(Races!$A$2:$ZY$2499, MATCH(Character!$C$4,Races!$A$2:$A$2299,0), MATCH(D2,Races!$A$2:$ZY$2,0))</f>
        <v>0</v>
      </c>
      <c r="E4" s="8">
        <f>INDEX(Races!$A$2:$ZY$2499, MATCH(Character!$C$4,Races!$A$2:$A$2299,0), MATCH(E2,Races!$A$2:$ZY$2,0))</f>
        <v>0</v>
      </c>
      <c r="F4" s="8">
        <f>INDEX(Races!$A$2:$ZY$2499, MATCH(Character!$C$4,Races!$A$2:$A$2299,0), MATCH(F2,Races!$A$2:$ZY$2,0))</f>
        <v>0</v>
      </c>
      <c r="G4" s="8">
        <f>INDEX(Races!$A$2:$ZY$2499, MATCH(Character!$C$4,Races!$A$2:$A$2299,0), MATCH(G2,Races!$A$2:$ZY$2,0))</f>
        <v>0</v>
      </c>
      <c r="H4" s="8">
        <f>INDEX(Races!$A$2:$ZY$2499, MATCH(Character!$C$4,Races!$A$2:$A$2299,0), MATCH("NatArm",Races!$A$2:$ZY$2,0))</f>
        <v>11</v>
      </c>
      <c r="I4" s="8">
        <v>0</v>
      </c>
      <c r="J4" s="8">
        <v>0</v>
      </c>
      <c r="K4" s="8">
        <v>0</v>
      </c>
      <c r="L4" s="8">
        <f>INDEX(Races!$A$2:$ZY$2499, MATCH(Character!$C$4,Races!$A$2:$A$2299,0), MATCH(L2,Races!$A$2:$ZY$2,0))</f>
        <v>40</v>
      </c>
      <c r="M4" s="8">
        <v>0</v>
      </c>
      <c r="N4" s="8">
        <v>0</v>
      </c>
      <c r="O4" s="8">
        <v>0</v>
      </c>
      <c r="P4" s="8">
        <v>0</v>
      </c>
      <c r="Q4" s="8">
        <v>-6</v>
      </c>
      <c r="R4" s="8">
        <v>-10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</row>
    <row r="5" spans="1:27" x14ac:dyDescent="0.2">
      <c r="A5" s="5" t="s">
        <v>232</v>
      </c>
      <c r="B5" s="8">
        <v>0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f>INDEX(Charts!$F$3:$J$24, MATCH(Character!$G$3, Charts!$F$3:$F$24, 0), MATCH(INDEX(Classes!$A$2:$AAA$2501, MATCH(Character!$F$3,Classes!$A$2:$A$2301,0), MATCH("AttChart",Classes!$A$2:$AAA$2,0)), Charts!$F$3:$J$3, 0))</f>
        <v>8</v>
      </c>
      <c r="J5" s="8">
        <v>0</v>
      </c>
      <c r="K5" s="8">
        <v>0</v>
      </c>
      <c r="L5" s="8">
        <v>0</v>
      </c>
      <c r="M5" s="8">
        <f>INDEX(Charts!$A$3:$D$24, MATCH(Character!$G$3, Charts!$A$3:$A$24, 0), MATCH(INDEX(Classes!$A$2:$AAA$2501, MATCH(Character!$F$3,Classes!$A$2:$A$2301,0), MATCH("FortChart",Classes!$A$2:$AAA$2,0)), Charts!$A$3:$D$3, 0))</f>
        <v>6</v>
      </c>
      <c r="N5" s="8">
        <f>INDEX(Charts!$A$3:$D$24, MATCH(Character!$G$3, Charts!$A$3:$A$24, 0), MATCH(INDEX(Classes!$A$2:$AAA$2501, MATCH(Character!$F$3,Classes!$A$2:$A$2301,0), MATCH("RefChart",Classes!$A$2:$AAA$2,0)), Charts!$A$3:$D$3, 0))</f>
        <v>6</v>
      </c>
      <c r="O5" s="8">
        <f>INDEX(Charts!$A$3:$D$24, MATCH(Character!$G$3, Charts!$A$3:$A$24, 0), MATCH(INDEX(Classes!$A$2:$AAA$2501, MATCH(Character!$F$3,Classes!$A$2:$A$2301,0), MATCH("WillChart",Classes!$A$2:$AAA$2,0)), Charts!$A$3:$D$3, 0))</f>
        <v>2</v>
      </c>
      <c r="P5" s="8">
        <f>TRUNC((INDEX(Classes!$A$2:$AAA$2501, MATCH(Character!$F$3,Classes!$A$2:$A$2301,0), MATCH("HitDie",Classes!$A$2:$AAA$2,0))+2)/2)*(Character!$G$3-1)+INDEX(Classes!$A$2:$AAA$2501, MATCH(Character!$F$3,Classes!$A$2:$A$2301,0), MATCH("HitDie",Classes!$A$2:$AAA$2,0))</f>
        <v>43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</row>
    <row r="6" spans="1:27" x14ac:dyDescent="0.2">
      <c r="A6" s="5" t="s">
        <v>233</v>
      </c>
      <c r="B6" s="8">
        <v>0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f>INDEX(Charts!$F$3:$J$24, MATCH(Character!$G$4, Charts!$F$3:$F$24, 0), MATCH(INDEX(Classes!$A$2:$AAA$2501, MATCH(Character!$F$4,Classes!$A$2:$A$2301,0), MATCH("AttChart",Classes!$A$2:$AAA$2,0)), Charts!$F$3:$J$3, 0))</f>
        <v>5</v>
      </c>
      <c r="J6" s="8">
        <v>0</v>
      </c>
      <c r="K6" s="8">
        <v>0</v>
      </c>
      <c r="L6" s="8">
        <v>0</v>
      </c>
      <c r="M6" s="8">
        <f>INDEX(Charts!$A$3:$D$24, MATCH(Character!$G$4, Charts!$A$3:$A$24, 0), MATCH(INDEX(Classes!$A$2:$AAA$2501, MATCH(Character!$F$4,Classes!$A$2:$A$2301,0), MATCH("FortChart",Classes!$A$2:$AAA$2,0)), Charts!$A$3:$D$3, 0))</f>
        <v>4</v>
      </c>
      <c r="N6" s="8">
        <f>INDEX(Charts!$A$3:$D$24, MATCH(Character!$G$4, Charts!$A$3:$A$24, 0), MATCH(INDEX(Classes!$A$2:$AAA$2501, MATCH(Character!$F$4,Classes!$A$2:$A$2301,0), MATCH("RefChart",Classes!$A$2:$AAA$2,0)), Charts!$A$3:$D$3, 0))</f>
        <v>1</v>
      </c>
      <c r="O6" s="8">
        <f>INDEX(Charts!$A$3:$D$24, MATCH(Character!$G$4, Charts!$A$3:$A$24, 0), MATCH(INDEX(Classes!$A$2:$AAA$2501, MATCH(Character!$F$4,Classes!$A$2:$A$2301,0), MATCH("WillChart",Classes!$A$2:$AAA$2,0)), Charts!$A$3:$D$3, 0))</f>
        <v>1</v>
      </c>
      <c r="P6" s="8">
        <f>TRUNC((INDEX(Classes!$A$2:$AAA$2501, MATCH(Character!$F$4,Classes!$A$2:$A$2301,0), MATCH("HitDie",Classes!$A$2:$AAA$2,0))+2)/2)*Character!$G$4</f>
        <v>30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</row>
    <row r="7" spans="1:27" x14ac:dyDescent="0.2">
      <c r="A7" s="5" t="s">
        <v>234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f>INDEX(Charts!$F$3:$J$24, MATCH(Character!$G$5, Charts!$F$3:$F$24, 0), MATCH(INDEX(Classes!$A$2:$AAA$2501, MATCH(Character!$F$5,Classes!$A$2:$A$2301,0), MATCH("AttChart",Classes!$A$2:$AAA$2,0)), Charts!$F$3:$J$3, 0))</f>
        <v>0</v>
      </c>
      <c r="J7" s="8">
        <f>INDEX(Charts!$F$3:$J$24, MATCH(Character!$G$5, Charts!$F$3:$F$24, 0), MATCH(INDEX(Classes!$A$2:$AAA$2501, MATCH(Character!$F$5,Classes!$A$2:$A$2301,0), MATCH("AttChart",Classes!$A$2:$AAA$2,0)), Charts!$F$3:$J$3, 0))</f>
        <v>0</v>
      </c>
      <c r="K7" s="8">
        <v>0</v>
      </c>
      <c r="L7" s="8">
        <v>0</v>
      </c>
      <c r="M7" s="8">
        <f>INDEX(Charts!$A$3:$D$24, MATCH(Character!$G$5, Charts!$A$3:$A$24, 0), MATCH(INDEX(Classes!$A$2:$AAA$2501, MATCH(Character!$F$5,Classes!$A$2:$A$2301,0), MATCH("FortChart",Classes!$A$2:$AAA$2,0)), Charts!$A$3:$D$3, 0))</f>
        <v>0</v>
      </c>
      <c r="N7" s="8">
        <f>INDEX(Charts!$A$3:$D$24, MATCH(Character!$G$5, Charts!$A$3:$A$24, 0), MATCH(INDEX(Classes!$A$2:$AAA$2501, MATCH(Character!$F$5,Classes!$A$2:$A$2301,0), MATCH("RefChart",Classes!$A$2:$AAA$2,0)), Charts!$A$3:$D$3, 0))</f>
        <v>0</v>
      </c>
      <c r="O7" s="8">
        <f>INDEX(Charts!$A$3:$D$24, MATCH(Character!$G$5, Charts!$A$3:$A$24, 0), MATCH(INDEX(Classes!$A$2:$AAA$2501, MATCH(Character!$F$5,Classes!$A$2:$A$2301,0), MATCH("WillChart",Classes!$A$2:$AAA$2,0)), Charts!$A$3:$D$3, 0))</f>
        <v>0</v>
      </c>
      <c r="P7" s="8">
        <f>TRUNC((INDEX(Classes!$A$2:$AAA$2501, MATCH(Character!$F$5,Classes!$A$2:$A$2301,0), MATCH("HitDie",Classes!$A$2:$AAA$2,0))+1)/2)*Character!$G$5</f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</row>
    <row r="8" spans="1:27" x14ac:dyDescent="0.2">
      <c r="A8" s="5" t="s">
        <v>235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f>INDEX(Charts!$F$3:$J$24, MATCH(Character!$G$6, Charts!$F$3:$F$24, 0), MATCH(INDEX(Classes!$A$2:$AAA$2501, MATCH(Character!$F$6,Classes!$A$2:$A$2301,0), MATCH("AttChart",Classes!$A$2:$AAA$2,0)), Charts!$F$3:$J$3, 0))</f>
        <v>0</v>
      </c>
      <c r="J8" s="8">
        <f>INDEX(Charts!$F$3:$J$24, MATCH(Character!$G$6, Charts!$F$3:$F$24, 0), MATCH(INDEX(Classes!$A$2:$AAA$2501, MATCH(Character!$F$6,Classes!$A$2:$A$2301,0), MATCH("AttChart",Classes!$A$2:$AAA$2,0)), Charts!$F$3:$J$3, 0))</f>
        <v>0</v>
      </c>
      <c r="K8" s="8">
        <v>0</v>
      </c>
      <c r="L8" s="8">
        <v>0</v>
      </c>
      <c r="M8" s="8">
        <f>INDEX(Charts!$A$3:$D$24, MATCH(Character!$G$6, Charts!$A$3:$A$24, 0), MATCH(INDEX(Classes!$A$2:$AAA$2501, MATCH(Character!$F$6,Classes!$A$2:$A$2301,0), MATCH("FortChart",Classes!$A$2:$AAA$2,0)), Charts!$A$3:$D$3, 0))</f>
        <v>0</v>
      </c>
      <c r="N8" s="8">
        <f>INDEX(Charts!$A$3:$D$24, MATCH(Character!$G$6, Charts!$A$3:$A$24, 0), MATCH(INDEX(Classes!$A$2:$AAA$2501, MATCH(Character!$F$6,Classes!$A$2:$A$2301,0), MATCH("RefChart",Classes!$A$2:$AAA$2,0)), Charts!$A$3:$D$3, 0))</f>
        <v>0</v>
      </c>
      <c r="O8" s="8">
        <f>INDEX(Charts!$A$3:$D$24, MATCH(Character!$G$6, Charts!$A$3:$A$24, 0), MATCH(INDEX(Classes!$A$2:$AAA$2501, MATCH(Character!$F$6,Classes!$A$2:$A$2301,0), MATCH("WillChart",Classes!$A$2:$AAA$2,0)), Charts!$A$3:$D$3, 0))</f>
        <v>0</v>
      </c>
      <c r="P8" s="8">
        <f>TRUNC((INDEX(Classes!$A$2:$AAA$2501, MATCH(Character!$F$6,Classes!$A$2:$A$2301,0), MATCH("HitDie",Classes!$A$2:$AAA$2,0))+1)/2)*Character!$G$6</f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</row>
    <row r="9" spans="1:27" x14ac:dyDescent="0.2">
      <c r="A9" s="5" t="s">
        <v>236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f>INDEX(Charts!$F$3:$J$24, MATCH(Character!$G$7, Charts!$F$3:$F$24, 0), MATCH(INDEX(Classes!$A$2:$AAA$2501, MATCH(Character!$F$7,Classes!$A$2:$A$2301,0), MATCH("AttChart",Classes!$A$2:$AAA$2,0)), Charts!$F$3:$J$3, 0))</f>
        <v>0</v>
      </c>
      <c r="J9" s="8">
        <f>INDEX(Charts!$F$3:$J$24, MATCH(Character!$G$7, Charts!$F$3:$F$24, 0), MATCH(INDEX(Classes!$A$2:$AAA$2501, MATCH(Character!$F$7,Classes!$A$2:$A$2301,0), MATCH("AttChart",Classes!$A$2:$AAA$2,0)), Charts!$F$3:$J$3, 0))</f>
        <v>0</v>
      </c>
      <c r="K9" s="8">
        <v>0</v>
      </c>
      <c r="L9" s="8">
        <v>0</v>
      </c>
      <c r="M9" s="8">
        <f>INDEX(Charts!$A$3:$D$24, MATCH(Character!$G$7, Charts!$A$3:$A$24, 0), MATCH(INDEX(Classes!$A$2:$AAA$2501, MATCH(Character!$F$7,Classes!$A$2:$A$2301,0), MATCH("FortChart",Classes!$A$2:$AAA$2,0)), Charts!$A$3:$D$3, 0))</f>
        <v>0</v>
      </c>
      <c r="N9" s="8">
        <f>INDEX(Charts!$A$3:$D$24, MATCH(Character!$G$7, Charts!$A$3:$A$24, 0), MATCH(INDEX(Classes!$A$2:$AAA$2501, MATCH(Character!$F$7,Classes!$A$2:$A$2301,0), MATCH("RefChart",Classes!$A$2:$AAA$2,0)), Charts!$A$3:$D$3, 0))</f>
        <v>0</v>
      </c>
      <c r="O9" s="8">
        <f>INDEX(Charts!$A$3:$D$24, MATCH(Character!$G$7, Charts!$A$3:$A$24, 0), MATCH(INDEX(Classes!$A$2:$AAA$2501, MATCH(Character!$F$7,Classes!$A$2:$A$2301,0), MATCH("WillChart",Classes!$A$2:$AAA$2,0)), Charts!$A$3:$D$3, 0))</f>
        <v>0</v>
      </c>
      <c r="P9" s="8">
        <f>TRUNC((INDEX(Classes!$A$2:$AAA$2501, MATCH(Character!$F$7,Classes!$A$2:$A$2301,0), MATCH("HitDie",Classes!$A$2:$AAA$2,0))+1)/2)*Character!$G$7</f>
        <v>0</v>
      </c>
      <c r="Q9" s="8">
        <v>0</v>
      </c>
      <c r="R9" s="8">
        <v>0</v>
      </c>
      <c r="S9" s="8">
        <v>0</v>
      </c>
      <c r="T9" s="8">
        <v>0</v>
      </c>
      <c r="U9" s="8">
        <v>0</v>
      </c>
      <c r="V9" s="8">
        <v>0</v>
      </c>
      <c r="W9" s="8">
        <v>0</v>
      </c>
      <c r="X9" s="8">
        <v>0</v>
      </c>
      <c r="Y9" s="8">
        <v>0</v>
      </c>
      <c r="Z9" s="8">
        <v>0</v>
      </c>
      <c r="AA9" s="8">
        <v>0</v>
      </c>
    </row>
    <row r="10" spans="1:27" x14ac:dyDescent="0.2">
      <c r="A10" s="6" t="s">
        <v>264</v>
      </c>
      <c r="B10" s="8">
        <f t="array" ref="B10">MAX(MAX(('Active Spells'!$C$4:$C$1005=1)*('Active Spells'!$E$4:$E$1005=$A10)*('Active Spells'!$F$4:$F$1005=B$2)*('Active Spells'!$D$4:$D$1005)),MAX((Feats!$C$4:$C$1005=$A10)*(Feats!$D$4:$D$1005=B$2)*(Feats!$B$4:$B$1005)),MAX((Equipment!$A$7:$A$1013=1)*(Equipment!$B$7:$B$1013=$A10)*(Equipment!$C$7:$C$1013=B$2)*(Equipment!$G$7:$G$1013)))</f>
        <v>0</v>
      </c>
      <c r="C10" s="8">
        <f t="array" ref="C10">MAX(MAX(('Active Spells'!$C$4:$C$1005=1)*('Active Spells'!$E$4:$E$1005=$A10)*('Active Spells'!$F$4:$F$1005=C$2)*('Active Spells'!$D$4:$D$1005)),MAX((Feats!$C$4:$C$1005=$A10)*(Feats!$D$4:$D$1005=C$2)*(Feats!$B$4:$B$1005)),MAX((Equipment!$A$7:$A$1013=1)*(Equipment!$B$7:$B$1013=$A10)*(Equipment!$C$7:$C$1013=C$2)*(Equipment!$G$7:$G$1013)))</f>
        <v>0</v>
      </c>
      <c r="D10" s="8">
        <f t="array" ref="D10">MAX(MAX(('Active Spells'!$C$4:$C$1005=1)*('Active Spells'!$E$4:$E$1005=$A10)*('Active Spells'!$F$4:$F$1005=D$2)*('Active Spells'!$D$4:$D$1005)),MAX((Feats!$C$4:$C$1005=$A10)*(Feats!$D$4:$D$1005=D$2)*(Feats!$B$4:$B$1005)),MAX((Equipment!$A$7:$A$1013=1)*(Equipment!$B$7:$B$1013=$A10)*(Equipment!$C$7:$C$1013=D$2)*(Equipment!$G$7:$G$1013)))</f>
        <v>0</v>
      </c>
      <c r="E10" s="8">
        <f t="array" ref="E10">MAX(MAX(('Active Spells'!$C$4:$C$1005=1)*('Active Spells'!$E$4:$E$1005=$A10)*('Active Spells'!$F$4:$F$1005=E$2)*('Active Spells'!$D$4:$D$1005)),MAX((Feats!$C$4:$C$1005=$A10)*(Feats!$D$4:$D$1005=E$2)*(Feats!$B$4:$B$1005)),MAX((Equipment!$A$7:$A$1013=1)*(Equipment!$B$7:$B$1013=$A10)*(Equipment!$C$7:$C$1013=E$2)*(Equipment!$G$7:$G$1013)))</f>
        <v>0</v>
      </c>
      <c r="F10" s="8">
        <f t="array" ref="F10">MAX(MAX(('Active Spells'!$C$4:$C$1005=1)*('Active Spells'!$E$4:$E$1005=$A10)*('Active Spells'!$F$4:$F$1005=F$2)*('Active Spells'!$D$4:$D$1005)),MAX((Feats!$C$4:$C$1005=$A10)*(Feats!$D$4:$D$1005=F$2)*(Feats!$B$4:$B$1005)),MAX((Equipment!$A$7:$A$1013=1)*(Equipment!$B$7:$B$1013=$A10)*(Equipment!$C$7:$C$1013=F$2)*(Equipment!$G$7:$G$1013)))</f>
        <v>0</v>
      </c>
      <c r="G10" s="8">
        <f t="array" ref="G10">MAX(MAX(('Active Spells'!$C$4:$C$1005=1)*('Active Spells'!$E$4:$E$1005=$A10)*('Active Spells'!$F$4:$F$1005=G$2)*('Active Spells'!$D$4:$D$1005)),MAX((Feats!$C$4:$C$1005=$A10)*(Feats!$D$4:$D$1005=G$2)*(Feats!$B$4:$B$1005)),MAX((Equipment!$A$7:$A$1013=1)*(Equipment!$B$7:$B$1013=$A10)*(Equipment!$C$7:$C$1013=G$2)*(Equipment!$G$7:$G$1013)))</f>
        <v>0</v>
      </c>
      <c r="H10" s="8">
        <f t="array" ref="H10">MAX(MAX(('Active Spells'!$C$4:$C$1005=1)*('Active Spells'!$E$4:$E$1005=$A10)*('Active Spells'!$F$4:$F$1005=H$2)*('Active Spells'!$D$4:$D$1005)),MAX((Feats!$C$4:$C$1005=$A10)*(Feats!$D$4:$D$1005=H$2)*(Feats!$B$4:$B$1005)),MAX((Equipment!$A$7:$A$1013=1)*(Equipment!$B$7:$B$1013=$A10)*(Equipment!$C$7:$C$1013=H$2)*(Equipment!$G$7:$G$1013)))</f>
        <v>0</v>
      </c>
      <c r="I10" s="8">
        <f t="array" ref="I10">MAX(MAX(('Active Spells'!$C$4:$C$1005=1)*('Active Spells'!$E$4:$E$1005=$A10)*('Active Spells'!$F$4:$F$1005=I$2)*('Active Spells'!$D$4:$D$1005)),MAX((Feats!$C$4:$C$1005=$A10)*(Feats!$D$4:$D$1005=I$2)*(Feats!$B$4:$B$1005)),MAX((Equipment!$A$7:$A$1013=1)*(Equipment!$B$7:$B$1013=$A10)*(Equipment!$C$7:$C$1013=I$2)*(Equipment!$G$7:$G$1013)))</f>
        <v>0</v>
      </c>
      <c r="J10" s="8">
        <f t="array" ref="J10">MAX(MAX(('Active Spells'!$C$4:$C$1005=1)*('Active Spells'!$E$4:$E$1005=$A10)*('Active Spells'!$F$4:$F$1005=J$2)*('Active Spells'!$D$4:$D$1005)),MAX((Feats!$C$4:$C$1005=$A10)*(Feats!$D$4:$D$1005=J$2)*(Feats!$B$4:$B$1005)),MAX((Equipment!$A$7:$A$1013=1)*(Equipment!$B$7:$B$1013=$A10)*(Equipment!$C$7:$C$1013=J$2)*(Equipment!$G$7:$G$1013)))</f>
        <v>0</v>
      </c>
      <c r="K10" s="8">
        <f t="array" ref="K10">MAX(MAX(('Active Spells'!$C$4:$C$1005=1)*('Active Spells'!$E$4:$E$1005=$A10)*('Active Spells'!$F$4:$F$1005=K$2)*('Active Spells'!$D$4:$D$1005)),MAX((Feats!$C$4:$C$1005=$A10)*(Feats!$D$4:$D$1005=K$2)*(Feats!$B$4:$B$1005)),MAX((Equipment!$A$7:$A$1013=1)*(Equipment!$B$7:$B$1013=$A10)*(Equipment!$C$7:$C$1013=K$2)*(Equipment!$G$7:$G$1013)))</f>
        <v>0</v>
      </c>
      <c r="L10" s="8">
        <f t="array" ref="L10">MAX(MAX(('Active Spells'!$C$4:$C$1005=1)*('Active Spells'!$E$4:$E$1005=$A10)*('Active Spells'!$F$4:$F$1005=L$2)*('Active Spells'!$D$4:$D$1005)),MAX((Feats!$C$4:$C$1005=$A10)*(Feats!$D$4:$D$1005=L$2)*(Feats!$B$4:$B$1005)),MAX((Equipment!$A$7:$A$1013=1)*(Equipment!$B$7:$B$1013=$A10)*(Equipment!$C$7:$C$1013=L$2)*(Equipment!$G$7:$G$1013)))</f>
        <v>0</v>
      </c>
      <c r="M10" s="8">
        <f t="array" ref="M10">MAX(MAX(('Active Spells'!$C$4:$C$1005=1)*('Active Spells'!$E$4:$E$1005=$A10)*('Active Spells'!$F$4:$F$1005=M$2)*('Active Spells'!$D$4:$D$1005),('Active Spells'!$C$4:$C$1005=1)*('Active Spells'!$E$4:$E$1005=$A10)*('Active Spells'!$F$4:$F$1005="Saves")*('Active Spells'!$D$4:$D$1005)),MAX((Feats!$C$4:$C$1005=$A10)*(Feats!$D$4:$D$1005=M$2)*(Feats!$B$4:$B$1005),(Feats!$C$4:$C$1005=$A10)*(Feats!$D$4:$D$1005="Saves")*(Feats!$B$4:$B$1005)),MAX((Equipment!$A$7:$A$1013=1)*(Equipment!$B$7:$B$1013=$A10)*(Equipment!$C$7:$C$1013=M$2)*(Equipment!$G$7:$G$1013),(Equipment!$A$7:$A$1013=1)*(Equipment!$B$7:$B$1013=$A10)*(Equipment!$C$7:$C$1013="Saves")*(Equipment!$G$7:$G$1013)))</f>
        <v>0</v>
      </c>
      <c r="N10" s="8">
        <f t="array" ref="N10">MAX(MAX(('Active Spells'!$C$4:$C$1005=1)*('Active Spells'!$E$4:$E$1005=$A10)*('Active Spells'!$F$4:$F$1005=N$2)*('Active Spells'!$D$4:$D$1005),('Active Spells'!$C$4:$C$1005=1)*('Active Spells'!$E$4:$E$1005=$A10)*('Active Spells'!$F$4:$F$1005="Saves")*('Active Spells'!$D$4:$D$1005)),MAX((Feats!$C$4:$C$1005=$A10)*(Feats!$D$4:$D$1005=N$2)*(Feats!$B$4:$B$1005),(Feats!$C$4:$C$1005=$A10)*(Feats!$D$4:$D$1005="Saves")*(Feats!$B$4:$B$1005)),MAX((Equipment!$A$7:$A$1013=1)*(Equipment!$B$7:$B$1013=$A10)*(Equipment!$C$7:$C$1013=N$2)*(Equipment!$G$7:$G$1013),(Equipment!$A$7:$A$1013=1)*(Equipment!$B$7:$B$1013=$A10)*(Equipment!$C$7:$C$1013="Saves")*(Equipment!$G$7:$G$1013)))</f>
        <v>0</v>
      </c>
      <c r="O10" s="8">
        <f t="array" ref="O10">MAX(MAX(('Active Spells'!$C$4:$C$1005=1)*('Active Spells'!$E$4:$E$1005=$A10)*('Active Spells'!$F$4:$F$1005=O$2)*('Active Spells'!$D$4:$D$1005),('Active Spells'!$C$4:$C$1005=1)*('Active Spells'!$E$4:$E$1005=$A10)*('Active Spells'!$F$4:$F$1005="Saves")*('Active Spells'!$D$4:$D$1005)),MAX((Feats!$C$4:$C$1005=$A10)*(Feats!$D$4:$D$1005=O$2)*(Feats!$B$4:$B$1005),(Feats!$C$4:$C$1005=$A10)*(Feats!$D$4:$D$1005="Saves")*(Feats!$B$4:$B$1005)),MAX((Equipment!$A$7:$A$1013=1)*(Equipment!$B$7:$B$1013=$A10)*(Equipment!$C$7:$C$1013=O$2)*(Equipment!$G$7:$G$1013),(Equipment!$A$7:$A$1013=1)*(Equipment!$B$7:$B$1013=$A10)*(Equipment!$C$7:$C$1013="Saves")*(Equipment!$G$7:$G$1013)))</f>
        <v>0</v>
      </c>
      <c r="P10" s="8">
        <f t="array" ref="P10">MAX(MAX(('Active Spells'!$C$4:$C$1005=1)*('Active Spells'!$E$4:$E$1005=$A10)*('Active Spells'!$F$4:$F$1005=P$2)*('Active Spells'!$D$4:$D$1005)),MAX((Feats!$C$4:$C$1005=$A10)*(Feats!$D$4:$D$1005=P$2)*(Feats!$B$4:$B$1005)),MAX((Equipment!$A$7:$A$1013=1)*(Equipment!$B$7:$B$1013=$A10)*(Equipment!$C$7:$C$1013=P$2)*(Equipment!$G$7:$G$1013)))</f>
        <v>0</v>
      </c>
      <c r="Q10" s="8">
        <f t="array" ref="Q10">MAX(MAX(('Active Spells'!$C$4:$C$1005=1)*('Active Spells'!$E$4:$E$1005=$A10)*('Active Spells'!$F$4:$F$1005=Q$2)*('Active Spells'!$D$4:$D$1005)),MAX((Feats!$C$4:$C$1005=$A10)*(Feats!$D$4:$D$1005=Q$2)*(Feats!$B$4:$B$1005)),MAX((Equipment!$A$7:$A$1013=1)*(Equipment!$B$7:$B$1013=$A10)*(Equipment!$C$7:$C$1013=Q$2)*(Equipment!$G$7:$G$1013)))</f>
        <v>0</v>
      </c>
      <c r="R10" s="8">
        <f t="array" ref="R10">MAX(MAX(('Active Spells'!$C$4:$C$1005=1)*('Active Spells'!$E$4:$E$1005=$A10)*('Active Spells'!$F$4:$F$1005=R$2)*('Active Spells'!$D$4:$D$1005)),MAX((Feats!$C$4:$C$1005=$A10)*(Feats!$D$4:$D$1005=R$2)*(Feats!$B$4:$B$1005)),MAX((Equipment!$A$7:$A$1013=1)*(Equipment!$B$7:$B$1013=$A10)*(Equipment!$C$7:$C$1013=R$2)*(Equipment!$G$7:$G$1013)))</f>
        <v>0</v>
      </c>
      <c r="S10" s="8">
        <f t="array" ref="S10">MAX(MAX(('Active Spells'!$C$4:$C$1005=1)*('Active Spells'!$E$4:$E$1005=$A10)*('Active Spells'!$F$4:$F$1005=S$2)*('Active Spells'!$D$4:$D$1005)),MAX((Feats!$C$4:$C$1005=$A10)*(Feats!$D$4:$D$1005=S$2)*(Feats!$B$4:$B$1005)),MAX((Equipment!$A$7:$A$1013=1)*(Equipment!$B$7:$B$1013=$A10)*(Equipment!$C$7:$C$1013=S$2)*(Equipment!$G$7:$G$1013)))</f>
        <v>0</v>
      </c>
      <c r="T10" s="8">
        <f t="array" ref="T10">MAX(MAX(('Active Spells'!$C$4:$C$1005=1)*('Active Spells'!$E$4:$E$1005=$A10)*('Active Spells'!$F$4:$F$1005=T$2)*('Active Spells'!$D$4:$D$1005)),MAX((Feats!$C$4:$C$1005=$A10)*(Feats!$D$4:$D$1005=T$2)*(Feats!$B$4:$B$1005)),MAX((Equipment!$A$7:$A$1013=1)*(Equipment!$B$7:$B$1013=$A10)*(Equipment!$C$7:$C$1013=T$2)*(Equipment!$G$7:$G$1013)))</f>
        <v>0</v>
      </c>
      <c r="U10" s="8">
        <f t="array" ref="U10">MAX(MAX(('Active Spells'!$C$4:$C$1005=1)*('Active Spells'!$E$4:$E$1005=$A10)*('Active Spells'!$F$4:$F$1005=U$2)*('Active Spells'!$D$4:$D$1005)),MAX((Feats!$C$4:$C$1005=$A10)*(Feats!$D$4:$D$1005=U$2)*(Feats!$B$4:$B$1005)),MAX((Equipment!$A$7:$A$1013=1)*(Equipment!$B$7:$B$1013=$A10)*(Equipment!$C$7:$C$1013=U$2)*(Equipment!$G$7:$G$1013)))</f>
        <v>0</v>
      </c>
      <c r="V10" s="8">
        <f t="array" ref="V10">MAX(MAX(('Active Spells'!$C$4:$C$1005=1)*('Active Spells'!$E$4:$E$1005=$A10)*('Active Spells'!$F$4:$F$1005=V$2)*('Active Spells'!$D$4:$D$1005)),MAX((Feats!$C$4:$C$1005=$A10)*(Feats!$D$4:$D$1005=V$2)*(Feats!$B$4:$B$1005)),MAX((Equipment!$A$7:$A$1013=1)*(Equipment!$B$7:$B$1013=$A10)*(Equipment!$C$7:$C$1013=V$2)*(Equipment!$G$7:$G$1013)))</f>
        <v>0</v>
      </c>
      <c r="W10" s="8">
        <f t="array" ref="W10">MAX(MAX(('Active Spells'!$C$4:$C$1005=1)*('Active Spells'!$E$4:$E$1005=$A10)*('Active Spells'!$F$4:$F$1005=W$2)*('Active Spells'!$D$4:$D$1005)),MAX((Feats!$C$4:$C$1005=$A10)*(Feats!$D$4:$D$1005=W$2)*(Feats!$B$4:$B$1005)),MAX((Equipment!$A$7:$A$1013=1)*(Equipment!$B$7:$B$1013=$A10)*(Equipment!$C$7:$C$1013=W$2)*(Equipment!$G$7:$G$1013)))</f>
        <v>0</v>
      </c>
      <c r="X10" s="8">
        <f t="array" ref="X10">MAX(MAX(('Active Spells'!$C$4:$C$1005=1)*('Active Spells'!$E$4:$E$1005=$A10)*('Active Spells'!$F$4:$F$1005=X$2)*('Active Spells'!$D$4:$D$1005)),MAX((Feats!$C$4:$C$1005=$A10)*(Feats!$D$4:$D$1005=X$2)*(Feats!$B$4:$B$1005)),MAX((Equipment!$A$7:$A$1013=1)*(Equipment!$B$7:$B$1013=$A10)*(Equipment!$C$7:$C$1013=X$2)*(Equipment!$G$7:$G$1013)))</f>
        <v>0</v>
      </c>
      <c r="Y10" s="8">
        <f t="array" ref="Y10">MAX(MAX(('Active Spells'!$C$4:$C$1005=1)*('Active Spells'!$E$4:$E$1005=$A10)*('Active Spells'!$F$4:$F$1005=Y$2)*('Active Spells'!$D$4:$D$1005)),MAX((Feats!$C$4:$C$1005=$A10)*(Feats!$D$4:$D$1005=Y$2)*(Feats!$B$4:$B$1005)),MAX((Equipment!$A$7:$A$1013=1)*(Equipment!$B$7:$B$1013=$A10)*(Equipment!$C$7:$C$1013=Y$2)*(Equipment!$G$7:$G$1013)))</f>
        <v>0</v>
      </c>
      <c r="Z10" s="8">
        <f t="array" ref="Z10">MAX(MAX(('Active Spells'!$C$4:$C$1005=1)*('Active Spells'!$E$4:$E$1005=$A10)*('Active Spells'!$F$4:$F$1005=Z$2)*('Active Spells'!$D$4:$D$1005)),MAX((Feats!$C$4:$C$1005=$A10)*(Feats!$D$4:$D$1005=Z$2)*(Feats!$B$4:$B$1005)),MAX((Equipment!$A$7:$A$1013=1)*(Equipment!$B$7:$B$1013=$A10)*(Equipment!$C$7:$C$1013=Z$2)*(Equipment!$G$7:$G$1013)))</f>
        <v>0</v>
      </c>
      <c r="AA10" s="8">
        <f t="array" ref="AA10">MAX(MAX(('Active Spells'!$C$4:$C$1005=1)*('Active Spells'!$E$4:$E$1005=$A10)*('Active Spells'!$F$4:$F$1005=AA$2)*('Active Spells'!$D$4:$D$1005)),MAX((Feats!$C$4:$C$1005=$A10)*(Feats!$D$4:$D$1005=AA$2)*(Feats!$B$4:$B$1005)),MAX((Equipment!$A$7:$A$1013=1)*(Equipment!$B$7:$B$1013=$A10)*(Equipment!$C$7:$C$1013=AA$2)*(Equipment!$G$7:$G$1013)))</f>
        <v>0</v>
      </c>
    </row>
    <row r="11" spans="1:27" x14ac:dyDescent="0.2">
      <c r="A11" s="5" t="s">
        <v>356</v>
      </c>
      <c r="B11" s="8">
        <f t="array" ref="B11">MAX(MAX(('Active Spells'!$C$4:$C$1005=1)*('Active Spells'!$E$4:$E$1005=$A11)*('Active Spells'!$F$4:$F$1005=B$2)*('Active Spells'!$D$4:$D$1005)),MAX((Feats!$C$4:$C$1005=$A11)*(Feats!$D$4:$D$1005=B$2)*(Feats!$B$4:$B$1005)),MAX((Equipment!$A$7:$A$1013=1)*(Equipment!$B$7:$B$1013=$A11)*(Equipment!$C$7:$C$1013=B$2)*(Equipment!$G$7:$G$1013)))</f>
        <v>0</v>
      </c>
      <c r="C11" s="8">
        <f t="array" ref="C11">MAX(MAX(('Active Spells'!$C$4:$C$1005=1)*('Active Spells'!$E$4:$E$1005=$A11)*('Active Spells'!$F$4:$F$1005=C$2)*('Active Spells'!$D$4:$D$1005)),MAX((Feats!$C$4:$C$1005=$A11)*(Feats!$D$4:$D$1005=C$2)*(Feats!$B$4:$B$1005)),MAX((Equipment!$A$7:$A$1013=1)*(Equipment!$B$7:$B$1013=$A11)*(Equipment!$C$7:$C$1013=C$2)*(Equipment!$G$7:$G$1013)))</f>
        <v>0</v>
      </c>
      <c r="D11" s="8">
        <f t="array" ref="D11">MAX(MAX(('Active Spells'!$C$4:$C$1005=1)*('Active Spells'!$E$4:$E$1005=$A11)*('Active Spells'!$F$4:$F$1005=D$2)*('Active Spells'!$D$4:$D$1005)),MAX((Feats!$C$4:$C$1005=$A11)*(Feats!$D$4:$D$1005=D$2)*(Feats!$B$4:$B$1005)),MAX((Equipment!$A$7:$A$1013=1)*(Equipment!$B$7:$B$1013=$A11)*(Equipment!$C$7:$C$1013=D$2)*(Equipment!$G$7:$G$1013)))</f>
        <v>0</v>
      </c>
      <c r="E11" s="8">
        <f t="array" ref="E11">MAX(MAX(('Active Spells'!$C$4:$C$1005=1)*('Active Spells'!$E$4:$E$1005=$A11)*('Active Spells'!$F$4:$F$1005=E$2)*('Active Spells'!$D$4:$D$1005)),MAX((Feats!$C$4:$C$1005=$A11)*(Feats!$D$4:$D$1005=E$2)*(Feats!$B$4:$B$1005)),MAX((Equipment!$A$7:$A$1013=1)*(Equipment!$B$7:$B$1013=$A11)*(Equipment!$C$7:$C$1013=E$2)*(Equipment!$G$7:$G$1013)))</f>
        <v>0</v>
      </c>
      <c r="F11" s="8">
        <f t="array" ref="F11">MAX(MAX(('Active Spells'!$C$4:$C$1005=1)*('Active Spells'!$E$4:$E$1005=$A11)*('Active Spells'!$F$4:$F$1005=F$2)*('Active Spells'!$D$4:$D$1005)),MAX((Feats!$C$4:$C$1005=$A11)*(Feats!$D$4:$D$1005=F$2)*(Feats!$B$4:$B$1005)),MAX((Equipment!$A$7:$A$1013=1)*(Equipment!$B$7:$B$1013=$A11)*(Equipment!$C$7:$C$1013=F$2)*(Equipment!$G$7:$G$1013)))</f>
        <v>0</v>
      </c>
      <c r="G11" s="8">
        <f t="array" ref="G11">MAX(MAX(('Active Spells'!$C$4:$C$1005=1)*('Active Spells'!$E$4:$E$1005=$A11)*('Active Spells'!$F$4:$F$1005=G$2)*('Active Spells'!$D$4:$D$1005)),MAX((Feats!$C$4:$C$1005=$A11)*(Feats!$D$4:$D$1005=G$2)*(Feats!$B$4:$B$1005)),MAX((Equipment!$A$7:$A$1013=1)*(Equipment!$B$7:$B$1013=$A11)*(Equipment!$C$7:$C$1013=G$2)*(Equipment!$G$7:$G$1013)))</f>
        <v>0</v>
      </c>
      <c r="H11" s="8">
        <f t="array" ref="H11">MAX(MAX(('Active Spells'!$C$4:$C$1005=1)*('Active Spells'!$E$4:$E$1005=$A11)*('Active Spells'!$F$4:$F$1005=H$2)*('Active Spells'!$D$4:$D$1005)),MAX((Feats!$C$4:$C$1005=$A11)*(Feats!$D$4:$D$1005=H$2)*(Feats!$B$4:$B$1005)),MAX((Equipment!$A$7:$A$1013=1)*(Equipment!$B$7:$B$1013=$A11)*(Equipment!$C$7:$C$1013=H$2)*(Equipment!$G$7:$G$1013)))</f>
        <v>5</v>
      </c>
      <c r="I11" s="8">
        <f t="array" ref="I11">MAX(MAX(('Active Spells'!$C$4:$C$1005=1)*('Active Spells'!$E$4:$E$1005=$A11)*('Active Spells'!$F$4:$F$1005=I$2)*('Active Spells'!$D$4:$D$1005)),MAX((Feats!$C$4:$C$1005=$A11)*(Feats!$D$4:$D$1005=I$2)*(Feats!$B$4:$B$1005)),MAX((Equipment!$A$7:$A$1013=1)*(Equipment!$B$7:$B$1013=$A11)*(Equipment!$C$7:$C$1013=I$2)*(Equipment!$G$7:$G$1013)))</f>
        <v>0</v>
      </c>
      <c r="J11" s="8">
        <f t="array" ref="J11">MAX(MAX(('Active Spells'!$C$4:$C$1005=1)*('Active Spells'!$E$4:$E$1005=$A11)*('Active Spells'!$F$4:$F$1005=J$2)*('Active Spells'!$D$4:$D$1005)),MAX((Feats!$C$4:$C$1005=$A11)*(Feats!$D$4:$D$1005=J$2)*(Feats!$B$4:$B$1005)),MAX((Equipment!$A$7:$A$1013=1)*(Equipment!$B$7:$B$1013=$A11)*(Equipment!$C$7:$C$1013=J$2)*(Equipment!$G$7:$G$1013)))</f>
        <v>0</v>
      </c>
      <c r="K11" s="8">
        <f t="array" ref="K11">MAX(MAX(('Active Spells'!$C$4:$C$1005=1)*('Active Spells'!$E$4:$E$1005=$A11)*('Active Spells'!$F$4:$F$1005=K$2)*('Active Spells'!$D$4:$D$1005)),MAX((Feats!$C$4:$C$1005=$A11)*(Feats!$D$4:$D$1005=K$2)*(Feats!$B$4:$B$1005)),MAX((Equipment!$A$7:$A$1013=1)*(Equipment!$B$7:$B$1013=$A11)*(Equipment!$C$7:$C$1013=K$2)*(Equipment!$G$7:$G$1013)))</f>
        <v>0</v>
      </c>
      <c r="L11" s="8">
        <f t="array" ref="L11">MAX(MAX(('Active Spells'!$C$4:$C$1005=1)*('Active Spells'!$E$4:$E$1005=$A11)*('Active Spells'!$F$4:$F$1005=L$2)*('Active Spells'!$D$4:$D$1005)),MAX((Feats!$C$4:$C$1005=$A11)*(Feats!$D$4:$D$1005=L$2)*(Feats!$B$4:$B$1005)),MAX((Equipment!$A$7:$A$1013=1)*(Equipment!$B$7:$B$1013=$A11)*(Equipment!$C$7:$C$1013=L$2)*(Equipment!$G$7:$G$1013)))</f>
        <v>0</v>
      </c>
      <c r="M11" s="8">
        <f t="array" ref="M11">MAX(MAX(('Active Spells'!$C$4:$C$1005=1)*('Active Spells'!$E$4:$E$1005=$A11)*('Active Spells'!$F$4:$F$1005=M$2)*('Active Spells'!$D$4:$D$1005),('Active Spells'!$C$4:$C$1005=1)*('Active Spells'!$E$4:$E$1005=$A11)*('Active Spells'!$F$4:$F$1005="Saves")*('Active Spells'!$D$4:$D$1005)),MAX((Feats!$C$4:$C$1005=$A11)*(Feats!$D$4:$D$1005=M$2)*(Feats!$B$4:$B$1005),(Feats!$C$4:$C$1005=$A11)*(Feats!$D$4:$D$1005="Saves")*(Feats!$B$4:$B$1005)),MAX((Equipment!$A$7:$A$1013=1)*(Equipment!$B$7:$B$1013=$A11)*(Equipment!$C$7:$C$1013=M$2)*(Equipment!$G$7:$G$1013),(Equipment!$A$7:$A$1013=1)*(Equipment!$B$7:$B$1013=$A11)*(Equipment!$C$7:$C$1013="Saves")*(Equipment!$G$7:$G$1013)))</f>
        <v>0</v>
      </c>
      <c r="N11" s="8">
        <f t="array" ref="N11">MAX(MAX(('Active Spells'!$C$4:$C$1005=1)*('Active Spells'!$E$4:$E$1005=$A11)*('Active Spells'!$F$4:$F$1005=N$2)*('Active Spells'!$D$4:$D$1005),('Active Spells'!$C$4:$C$1005=1)*('Active Spells'!$E$4:$E$1005=$A11)*('Active Spells'!$F$4:$F$1005="Saves")*('Active Spells'!$D$4:$D$1005)),MAX((Feats!$C$4:$C$1005=$A11)*(Feats!$D$4:$D$1005=N$2)*(Feats!$B$4:$B$1005),(Feats!$C$4:$C$1005=$A11)*(Feats!$D$4:$D$1005="Saves")*(Feats!$B$4:$B$1005)),MAX((Equipment!$A$7:$A$1013=1)*(Equipment!$B$7:$B$1013=$A11)*(Equipment!$C$7:$C$1013=N$2)*(Equipment!$G$7:$G$1013),(Equipment!$A$7:$A$1013=1)*(Equipment!$B$7:$B$1013=$A11)*(Equipment!$C$7:$C$1013="Saves")*(Equipment!$G$7:$G$1013)))</f>
        <v>0</v>
      </c>
      <c r="O11" s="8">
        <f t="array" ref="O11">MAX(MAX(('Active Spells'!$C$4:$C$1005=1)*('Active Spells'!$E$4:$E$1005=$A11)*('Active Spells'!$F$4:$F$1005=O$2)*('Active Spells'!$D$4:$D$1005),('Active Spells'!$C$4:$C$1005=1)*('Active Spells'!$E$4:$E$1005=$A11)*('Active Spells'!$F$4:$F$1005="Saves")*('Active Spells'!$D$4:$D$1005)),MAX((Feats!$C$4:$C$1005=$A11)*(Feats!$D$4:$D$1005=O$2)*(Feats!$B$4:$B$1005),(Feats!$C$4:$C$1005=$A11)*(Feats!$D$4:$D$1005="Saves")*(Feats!$B$4:$B$1005)),MAX((Equipment!$A$7:$A$1013=1)*(Equipment!$B$7:$B$1013=$A11)*(Equipment!$C$7:$C$1013=O$2)*(Equipment!$G$7:$G$1013),(Equipment!$A$7:$A$1013=1)*(Equipment!$B$7:$B$1013=$A11)*(Equipment!$C$7:$C$1013="Saves")*(Equipment!$G$7:$G$1013)))</f>
        <v>0</v>
      </c>
      <c r="P11" s="8">
        <f t="array" ref="P11">MAX(MAX(('Active Spells'!$C$4:$C$1005=1)*('Active Spells'!$E$4:$E$1005=$A11)*('Active Spells'!$F$4:$F$1005=P$2)*('Active Spells'!$D$4:$D$1005)),MAX((Feats!$C$4:$C$1005=$A11)*(Feats!$D$4:$D$1005=P$2)*(Feats!$B$4:$B$1005)),MAX((Equipment!$A$7:$A$1013=1)*(Equipment!$B$7:$B$1013=$A11)*(Equipment!$C$7:$C$1013=P$2)*(Equipment!$G$7:$G$1013)))</f>
        <v>0</v>
      </c>
      <c r="Q11" s="8">
        <f t="array" ref="Q11">MAX(MAX(('Active Spells'!$C$4:$C$1005=1)*('Active Spells'!$E$4:$E$1005=$A11)*('Active Spells'!$F$4:$F$1005=Q$2)*('Active Spells'!$D$4:$D$1005)),MAX((Feats!$C$4:$C$1005=$A11)*(Feats!$D$4:$D$1005=Q$2)*(Feats!$B$4:$B$1005)),MAX((Equipment!$A$7:$A$1013=1)*(Equipment!$B$7:$B$1013=$A11)*(Equipment!$C$7:$C$1013=Q$2)*(Equipment!$G$7:$G$1013)))</f>
        <v>0</v>
      </c>
      <c r="R11" s="8">
        <f t="array" ref="R11">MAX(MAX(('Active Spells'!$C$4:$C$1005=1)*('Active Spells'!$E$4:$E$1005=$A11)*('Active Spells'!$F$4:$F$1005=R$2)*('Active Spells'!$D$4:$D$1005)),MAX((Feats!$C$4:$C$1005=$A11)*(Feats!$D$4:$D$1005=R$2)*(Feats!$B$4:$B$1005)),MAX((Equipment!$A$7:$A$1013=1)*(Equipment!$B$7:$B$1013=$A11)*(Equipment!$C$7:$C$1013=R$2)*(Equipment!$G$7:$G$1013)))</f>
        <v>0</v>
      </c>
      <c r="S11" s="8">
        <f t="array" ref="S11">MAX(MAX(('Active Spells'!$C$4:$C$1005=1)*('Active Spells'!$E$4:$E$1005=$A11)*('Active Spells'!$F$4:$F$1005=S$2)*('Active Spells'!$D$4:$D$1005)),MAX((Feats!$C$4:$C$1005=$A11)*(Feats!$D$4:$D$1005=S$2)*(Feats!$B$4:$B$1005)),MAX((Equipment!$A$7:$A$1013=1)*(Equipment!$B$7:$B$1013=$A11)*(Equipment!$C$7:$C$1013=S$2)*(Equipment!$G$7:$G$1013)))</f>
        <v>0</v>
      </c>
      <c r="T11" s="8">
        <f t="array" ref="T11">MAX(MAX(('Active Spells'!$C$4:$C$1005=1)*('Active Spells'!$E$4:$E$1005=$A11)*('Active Spells'!$F$4:$F$1005=T$2)*('Active Spells'!$D$4:$D$1005)),MAX((Feats!$C$4:$C$1005=$A11)*(Feats!$D$4:$D$1005=T$2)*(Feats!$B$4:$B$1005)),MAX((Equipment!$A$7:$A$1013=1)*(Equipment!$B$7:$B$1013=$A11)*(Equipment!$C$7:$C$1013=T$2)*(Equipment!$G$7:$G$1013)))</f>
        <v>0</v>
      </c>
      <c r="U11" s="8">
        <f t="array" ref="U11">MAX(MAX(('Active Spells'!$C$4:$C$1005=1)*('Active Spells'!$E$4:$E$1005=$A11)*('Active Spells'!$F$4:$F$1005=U$2)*('Active Spells'!$D$4:$D$1005)),MAX((Feats!$C$4:$C$1005=$A11)*(Feats!$D$4:$D$1005=U$2)*(Feats!$B$4:$B$1005)),MAX((Equipment!$A$7:$A$1013=1)*(Equipment!$B$7:$B$1013=$A11)*(Equipment!$C$7:$C$1013=U$2)*(Equipment!$G$7:$G$1013)))</f>
        <v>0</v>
      </c>
      <c r="V11" s="8">
        <f t="array" ref="V11">MAX(MAX(('Active Spells'!$C$4:$C$1005=1)*('Active Spells'!$E$4:$E$1005=$A11)*('Active Spells'!$F$4:$F$1005=V$2)*('Active Spells'!$D$4:$D$1005)),MAX((Feats!$C$4:$C$1005=$A11)*(Feats!$D$4:$D$1005=V$2)*(Feats!$B$4:$B$1005)),MAX((Equipment!$A$7:$A$1013=1)*(Equipment!$B$7:$B$1013=$A11)*(Equipment!$C$7:$C$1013=V$2)*(Equipment!$G$7:$G$1013)))</f>
        <v>0</v>
      </c>
      <c r="W11" s="8">
        <f t="array" ref="W11">MAX(MAX(('Active Spells'!$C$4:$C$1005=1)*('Active Spells'!$E$4:$E$1005=$A11)*('Active Spells'!$F$4:$F$1005=W$2)*('Active Spells'!$D$4:$D$1005)),MAX((Feats!$C$4:$C$1005=$A11)*(Feats!$D$4:$D$1005=W$2)*(Feats!$B$4:$B$1005)),MAX((Equipment!$A$7:$A$1013=1)*(Equipment!$B$7:$B$1013=$A11)*(Equipment!$C$7:$C$1013=W$2)*(Equipment!$G$7:$G$1013)))</f>
        <v>0</v>
      </c>
      <c r="X11" s="8">
        <f t="array" ref="X11">MAX(MAX(('Active Spells'!$C$4:$C$1005=1)*('Active Spells'!$E$4:$E$1005=$A11)*('Active Spells'!$F$4:$F$1005=X$2)*('Active Spells'!$D$4:$D$1005)),MAX((Feats!$C$4:$C$1005=$A11)*(Feats!$D$4:$D$1005=X$2)*(Feats!$B$4:$B$1005)),MAX((Equipment!$A$7:$A$1013=1)*(Equipment!$B$7:$B$1013=$A11)*(Equipment!$C$7:$C$1013=X$2)*(Equipment!$G$7:$G$1013)))</f>
        <v>0</v>
      </c>
      <c r="Y11" s="8">
        <f t="array" ref="Y11">MAX(MAX(('Active Spells'!$C$4:$C$1005=1)*('Active Spells'!$E$4:$E$1005=$A11)*('Active Spells'!$F$4:$F$1005=Y$2)*('Active Spells'!$D$4:$D$1005)),MAX((Feats!$C$4:$C$1005=$A11)*(Feats!$D$4:$D$1005=Y$2)*(Feats!$B$4:$B$1005)),MAX((Equipment!$A$7:$A$1013=1)*(Equipment!$B$7:$B$1013=$A11)*(Equipment!$C$7:$C$1013=Y$2)*(Equipment!$G$7:$G$1013)))</f>
        <v>0</v>
      </c>
      <c r="Z11" s="8">
        <f t="array" ref="Z11">MAX(MAX(('Active Spells'!$C$4:$C$1005=1)*('Active Spells'!$E$4:$E$1005=$A11)*('Active Spells'!$F$4:$F$1005=Z$2)*('Active Spells'!$D$4:$D$1005)),MAX((Feats!$C$4:$C$1005=$A11)*(Feats!$D$4:$D$1005=Z$2)*(Feats!$B$4:$B$1005)),MAX((Equipment!$A$7:$A$1013=1)*(Equipment!$B$7:$B$1013=$A11)*(Equipment!$C$7:$C$1013=Z$2)*(Equipment!$G$7:$G$1013)))</f>
        <v>0</v>
      </c>
      <c r="AA11" s="8">
        <f t="array" ref="AA11">MAX(MAX(('Active Spells'!$C$4:$C$1005=1)*('Active Spells'!$E$4:$E$1005=$A11)*('Active Spells'!$F$4:$F$1005=AA$2)*('Active Spells'!$D$4:$D$1005)),MAX((Feats!$C$4:$C$1005=$A11)*(Feats!$D$4:$D$1005=AA$2)*(Feats!$B$4:$B$1005)),MAX((Equipment!$A$7:$A$1013=1)*(Equipment!$B$7:$B$1013=$A11)*(Equipment!$C$7:$C$1013=AA$2)*(Equipment!$G$7:$G$1013)))</f>
        <v>0</v>
      </c>
    </row>
    <row r="12" spans="1:27" x14ac:dyDescent="0.2">
      <c r="A12" s="6" t="s">
        <v>265</v>
      </c>
      <c r="B12" s="8">
        <f t="array" ref="B12">MAX(MAX(('Active Spells'!$C$4:$C$1005=1)*('Active Spells'!$E$4:$E$1005=$A12)*('Active Spells'!$F$4:$F$1005=B$2)*('Active Spells'!$D$4:$D$1005)),MAX((Feats!$C$4:$C$1005=$A12)*(Feats!$D$4:$D$1005=B$2)*(Feats!$B$4:$B$1005)),MAX((Equipment!$A$7:$A$1013=1)*(Equipment!$B$7:$B$1013=$A12)*(Equipment!$C$7:$C$1013=B$2)*(Equipment!$G$7:$G$1013)))</f>
        <v>0</v>
      </c>
      <c r="C12" s="8">
        <f t="array" ref="C12">MAX(MAX(('Active Spells'!$C$4:$C$1005=1)*('Active Spells'!$E$4:$E$1005=$A12)*('Active Spells'!$F$4:$F$1005=C$2)*('Active Spells'!$D$4:$D$1005)),MAX((Feats!$C$4:$C$1005=$A12)*(Feats!$D$4:$D$1005=C$2)*(Feats!$B$4:$B$1005)),MAX((Equipment!$A$7:$A$1013=1)*(Equipment!$B$7:$B$1013=$A12)*(Equipment!$C$7:$C$1013=C$2)*(Equipment!$G$7:$G$1013)))</f>
        <v>0</v>
      </c>
      <c r="D12" s="8">
        <f t="array" ref="D12">MAX(MAX(('Active Spells'!$C$4:$C$1005=1)*('Active Spells'!$E$4:$E$1005=$A12)*('Active Spells'!$F$4:$F$1005=D$2)*('Active Spells'!$D$4:$D$1005)),MAX((Feats!$C$4:$C$1005=$A12)*(Feats!$D$4:$D$1005=D$2)*(Feats!$B$4:$B$1005)),MAX((Equipment!$A$7:$A$1013=1)*(Equipment!$B$7:$B$1013=$A12)*(Equipment!$C$7:$C$1013=D$2)*(Equipment!$G$7:$G$1013)))</f>
        <v>0</v>
      </c>
      <c r="E12" s="8">
        <f t="array" ref="E12">MAX(MAX(('Active Spells'!$C$4:$C$1005=1)*('Active Spells'!$E$4:$E$1005=$A12)*('Active Spells'!$F$4:$F$1005=E$2)*('Active Spells'!$D$4:$D$1005)),MAX((Feats!$C$4:$C$1005=$A12)*(Feats!$D$4:$D$1005=E$2)*(Feats!$B$4:$B$1005)),MAX((Equipment!$A$7:$A$1013=1)*(Equipment!$B$7:$B$1013=$A12)*(Equipment!$C$7:$C$1013=E$2)*(Equipment!$G$7:$G$1013)))</f>
        <v>0</v>
      </c>
      <c r="F12" s="8">
        <f t="array" ref="F12">MAX(MAX(('Active Spells'!$C$4:$C$1005=1)*('Active Spells'!$E$4:$E$1005=$A12)*('Active Spells'!$F$4:$F$1005=F$2)*('Active Spells'!$D$4:$D$1005)),MAX((Feats!$C$4:$C$1005=$A12)*(Feats!$D$4:$D$1005=F$2)*(Feats!$B$4:$B$1005)),MAX((Equipment!$A$7:$A$1013=1)*(Equipment!$B$7:$B$1013=$A12)*(Equipment!$C$7:$C$1013=F$2)*(Equipment!$G$7:$G$1013)))</f>
        <v>0</v>
      </c>
      <c r="G12" s="8">
        <f t="array" ref="G12">MAX(MAX(('Active Spells'!$C$4:$C$1005=1)*('Active Spells'!$E$4:$E$1005=$A12)*('Active Spells'!$F$4:$F$1005=G$2)*('Active Spells'!$D$4:$D$1005)),MAX((Feats!$C$4:$C$1005=$A12)*(Feats!$D$4:$D$1005=G$2)*(Feats!$B$4:$B$1005)),MAX((Equipment!$A$7:$A$1013=1)*(Equipment!$B$7:$B$1013=$A12)*(Equipment!$C$7:$C$1013=G$2)*(Equipment!$G$7:$G$1013)))</f>
        <v>0</v>
      </c>
      <c r="H12" s="8">
        <f t="array" ref="H12">MAX(MAX(('Active Spells'!$C$4:$C$1005=1)*('Active Spells'!$E$4:$E$1005=$A12)*('Active Spells'!$F$4:$F$1005=H$2)*('Active Spells'!$D$4:$D$1005)),MAX((Feats!$C$4:$C$1005=$A12)*(Feats!$D$4:$D$1005=H$2)*(Feats!$B$4:$B$1005)),MAX((Equipment!$A$7:$A$1013=1)*(Equipment!$B$7:$B$1013=$A12)*(Equipment!$C$7:$C$1013=H$2)*(Equipment!$G$7:$G$1013)))</f>
        <v>5</v>
      </c>
      <c r="I12" s="8">
        <f t="array" ref="I12">MAX(MAX(('Active Spells'!$C$4:$C$1005=1)*('Active Spells'!$E$4:$E$1005=$A12)*('Active Spells'!$F$4:$F$1005=I$2)*('Active Spells'!$D$4:$D$1005)),MAX((Feats!$C$4:$C$1005=$A12)*(Feats!$D$4:$D$1005=I$2)*(Feats!$B$4:$B$1005)),MAX((Equipment!$A$7:$A$1013=1)*(Equipment!$B$7:$B$1013=$A12)*(Equipment!$C$7:$C$1013=I$2)*(Equipment!$G$7:$G$1013)))</f>
        <v>0</v>
      </c>
      <c r="J12" s="8">
        <f t="array" ref="J12">MAX(MAX(('Active Spells'!$C$4:$C$1005=1)*('Active Spells'!$E$4:$E$1005=$A12)*('Active Spells'!$F$4:$F$1005=J$2)*('Active Spells'!$D$4:$D$1005)),MAX((Feats!$C$4:$C$1005=$A12)*(Feats!$D$4:$D$1005=J$2)*(Feats!$B$4:$B$1005)),MAX((Equipment!$A$7:$A$1013=1)*(Equipment!$B$7:$B$1013=$A12)*(Equipment!$C$7:$C$1013=J$2)*(Equipment!$G$7:$G$1013)))</f>
        <v>0</v>
      </c>
      <c r="K12" s="8">
        <f t="array" ref="K12">MAX(MAX(('Active Spells'!$C$4:$C$1005=1)*('Active Spells'!$E$4:$E$1005=$A12)*('Active Spells'!$F$4:$F$1005=K$2)*('Active Spells'!$D$4:$D$1005)),MAX((Feats!$C$4:$C$1005=$A12)*(Feats!$D$4:$D$1005=K$2)*(Feats!$B$4:$B$1005)),MAX((Equipment!$A$7:$A$1013=1)*(Equipment!$B$7:$B$1013=$A12)*(Equipment!$C$7:$C$1013=K$2)*(Equipment!$G$7:$G$1013)))</f>
        <v>0</v>
      </c>
      <c r="L12" s="8">
        <f t="array" ref="L12">MAX(MAX(('Active Spells'!$C$4:$C$1005=1)*('Active Spells'!$E$4:$E$1005=$A12)*('Active Spells'!$F$4:$F$1005=L$2)*('Active Spells'!$D$4:$D$1005)),MAX((Feats!$C$4:$C$1005=$A12)*(Feats!$D$4:$D$1005=L$2)*(Feats!$B$4:$B$1005)),MAX((Equipment!$A$7:$A$1013=1)*(Equipment!$B$7:$B$1013=$A12)*(Equipment!$C$7:$C$1013=L$2)*(Equipment!$G$7:$G$1013)))</f>
        <v>0</v>
      </c>
      <c r="M12" s="8">
        <f t="array" ref="M12">MAX(MAX(('Active Spells'!$C$4:$C$1005=1)*('Active Spells'!$E$4:$E$1005=$A12)*('Active Spells'!$F$4:$F$1005=M$2)*('Active Spells'!$D$4:$D$1005),('Active Spells'!$C$4:$C$1005=1)*('Active Spells'!$E$4:$E$1005=$A12)*('Active Spells'!$F$4:$F$1005="Saves")*('Active Spells'!$D$4:$D$1005)),MAX((Feats!$C$4:$C$1005=$A12)*(Feats!$D$4:$D$1005=M$2)*(Feats!$B$4:$B$1005),(Feats!$C$4:$C$1005=$A12)*(Feats!$D$4:$D$1005="Saves")*(Feats!$B$4:$B$1005)),MAX((Equipment!$A$7:$A$1013=1)*(Equipment!$B$7:$B$1013=$A12)*(Equipment!$C$7:$C$1013=M$2)*(Equipment!$G$7:$G$1013),(Equipment!$A$7:$A$1013=1)*(Equipment!$B$7:$B$1013=$A12)*(Equipment!$C$7:$C$1013="Saves")*(Equipment!$G$7:$G$1013)))</f>
        <v>0</v>
      </c>
      <c r="N12" s="8">
        <f t="array" ref="N12">MAX(MAX(('Active Spells'!$C$4:$C$1005=1)*('Active Spells'!$E$4:$E$1005=$A12)*('Active Spells'!$F$4:$F$1005=N$2)*('Active Spells'!$D$4:$D$1005),('Active Spells'!$C$4:$C$1005=1)*('Active Spells'!$E$4:$E$1005=$A12)*('Active Spells'!$F$4:$F$1005="Saves")*('Active Spells'!$D$4:$D$1005)),MAX((Feats!$C$4:$C$1005=$A12)*(Feats!$D$4:$D$1005=N$2)*(Feats!$B$4:$B$1005),(Feats!$C$4:$C$1005=$A12)*(Feats!$D$4:$D$1005="Saves")*(Feats!$B$4:$B$1005)),MAX((Equipment!$A$7:$A$1013=1)*(Equipment!$B$7:$B$1013=$A12)*(Equipment!$C$7:$C$1013=N$2)*(Equipment!$G$7:$G$1013),(Equipment!$A$7:$A$1013=1)*(Equipment!$B$7:$B$1013=$A12)*(Equipment!$C$7:$C$1013="Saves")*(Equipment!$G$7:$G$1013)))</f>
        <v>0</v>
      </c>
      <c r="O12" s="8">
        <f t="array" ref="O12">MAX(MAX(('Active Spells'!$C$4:$C$1005=1)*('Active Spells'!$E$4:$E$1005=$A12)*('Active Spells'!$F$4:$F$1005=O$2)*('Active Spells'!$D$4:$D$1005),('Active Spells'!$C$4:$C$1005=1)*('Active Spells'!$E$4:$E$1005=$A12)*('Active Spells'!$F$4:$F$1005="Saves")*('Active Spells'!$D$4:$D$1005)),MAX((Feats!$C$4:$C$1005=$A12)*(Feats!$D$4:$D$1005=O$2)*(Feats!$B$4:$B$1005),(Feats!$C$4:$C$1005=$A12)*(Feats!$D$4:$D$1005="Saves")*(Feats!$B$4:$B$1005)),MAX((Equipment!$A$7:$A$1013=1)*(Equipment!$B$7:$B$1013=$A12)*(Equipment!$C$7:$C$1013=O$2)*(Equipment!$G$7:$G$1013),(Equipment!$A$7:$A$1013=1)*(Equipment!$B$7:$B$1013=$A12)*(Equipment!$C$7:$C$1013="Saves")*(Equipment!$G$7:$G$1013)))</f>
        <v>0</v>
      </c>
      <c r="P12" s="8">
        <f t="array" ref="P12">MAX(MAX(('Active Spells'!$C$4:$C$1005=1)*('Active Spells'!$E$4:$E$1005=$A12)*('Active Spells'!$F$4:$F$1005=P$2)*('Active Spells'!$D$4:$D$1005)),MAX((Feats!$C$4:$C$1005=$A12)*(Feats!$D$4:$D$1005=P$2)*(Feats!$B$4:$B$1005)),MAX((Equipment!$A$7:$A$1013=1)*(Equipment!$B$7:$B$1013=$A12)*(Equipment!$C$7:$C$1013=P$2)*(Equipment!$G$7:$G$1013)))</f>
        <v>0</v>
      </c>
      <c r="Q12" s="8">
        <f t="array" ref="Q12">MAX(MAX(('Active Spells'!$C$4:$C$1005=1)*('Active Spells'!$E$4:$E$1005=$A12)*('Active Spells'!$F$4:$F$1005=Q$2)*('Active Spells'!$D$4:$D$1005)),MAX((Feats!$C$4:$C$1005=$A12)*(Feats!$D$4:$D$1005=Q$2)*(Feats!$B$4:$B$1005)),MAX((Equipment!$A$7:$A$1013=1)*(Equipment!$B$7:$B$1013=$A12)*(Equipment!$C$7:$C$1013=Q$2)*(Equipment!$G$7:$G$1013)))</f>
        <v>0</v>
      </c>
      <c r="R12" s="8">
        <f t="array" ref="R12">MAX(MAX(('Active Spells'!$C$4:$C$1005=1)*('Active Spells'!$E$4:$E$1005=$A12)*('Active Spells'!$F$4:$F$1005=R$2)*('Active Spells'!$D$4:$D$1005)),MAX((Feats!$C$4:$C$1005=$A12)*(Feats!$D$4:$D$1005=R$2)*(Feats!$B$4:$B$1005)),MAX((Equipment!$A$7:$A$1013=1)*(Equipment!$B$7:$B$1013=$A12)*(Equipment!$C$7:$C$1013=R$2)*(Equipment!$G$7:$G$1013)))</f>
        <v>0</v>
      </c>
      <c r="S12" s="8">
        <f t="array" ref="S12">MAX(MAX(('Active Spells'!$C$4:$C$1005=1)*('Active Spells'!$E$4:$E$1005=$A12)*('Active Spells'!$F$4:$F$1005=S$2)*('Active Spells'!$D$4:$D$1005)),MAX((Feats!$C$4:$C$1005=$A12)*(Feats!$D$4:$D$1005=S$2)*(Feats!$B$4:$B$1005)),MAX((Equipment!$A$7:$A$1013=1)*(Equipment!$B$7:$B$1013=$A12)*(Equipment!$C$7:$C$1013=S$2)*(Equipment!$G$7:$G$1013)))</f>
        <v>0</v>
      </c>
      <c r="T12" s="8">
        <f t="array" ref="T12">MAX(MAX(('Active Spells'!$C$4:$C$1005=1)*('Active Spells'!$E$4:$E$1005=$A12)*('Active Spells'!$F$4:$F$1005=T$2)*('Active Spells'!$D$4:$D$1005)),MAX((Feats!$C$4:$C$1005=$A12)*(Feats!$D$4:$D$1005=T$2)*(Feats!$B$4:$B$1005)),MAX((Equipment!$A$7:$A$1013=1)*(Equipment!$B$7:$B$1013=$A12)*(Equipment!$C$7:$C$1013=T$2)*(Equipment!$G$7:$G$1013)))</f>
        <v>0</v>
      </c>
      <c r="U12" s="8">
        <f t="array" ref="U12">MAX(MAX(('Active Spells'!$C$4:$C$1005=1)*('Active Spells'!$E$4:$E$1005=$A12)*('Active Spells'!$F$4:$F$1005=U$2)*('Active Spells'!$D$4:$D$1005)),MAX((Feats!$C$4:$C$1005=$A12)*(Feats!$D$4:$D$1005=U$2)*(Feats!$B$4:$B$1005)),MAX((Equipment!$A$7:$A$1013=1)*(Equipment!$B$7:$B$1013=$A12)*(Equipment!$C$7:$C$1013=U$2)*(Equipment!$G$7:$G$1013)))</f>
        <v>0</v>
      </c>
      <c r="V12" s="8">
        <f t="array" ref="V12">MAX(MAX(('Active Spells'!$C$4:$C$1005=1)*('Active Spells'!$E$4:$E$1005=$A12)*('Active Spells'!$F$4:$F$1005=V$2)*('Active Spells'!$D$4:$D$1005)),MAX((Feats!$C$4:$C$1005=$A12)*(Feats!$D$4:$D$1005=V$2)*(Feats!$B$4:$B$1005)),MAX((Equipment!$A$7:$A$1013=1)*(Equipment!$B$7:$B$1013=$A12)*(Equipment!$C$7:$C$1013=V$2)*(Equipment!$G$7:$G$1013)))</f>
        <v>0</v>
      </c>
      <c r="W12" s="8">
        <f t="array" ref="W12">MAX(MAX(('Active Spells'!$C$4:$C$1005=1)*('Active Spells'!$E$4:$E$1005=$A12)*('Active Spells'!$F$4:$F$1005=W$2)*('Active Spells'!$D$4:$D$1005)),MAX((Feats!$C$4:$C$1005=$A12)*(Feats!$D$4:$D$1005=W$2)*(Feats!$B$4:$B$1005)),MAX((Equipment!$A$7:$A$1013=1)*(Equipment!$B$7:$B$1013=$A12)*(Equipment!$C$7:$C$1013=W$2)*(Equipment!$G$7:$G$1013)))</f>
        <v>0</v>
      </c>
      <c r="X12" s="8">
        <f t="array" ref="X12">MAX(MAX(('Active Spells'!$C$4:$C$1005=1)*('Active Spells'!$E$4:$E$1005=$A12)*('Active Spells'!$F$4:$F$1005=X$2)*('Active Spells'!$D$4:$D$1005)),MAX((Feats!$C$4:$C$1005=$A12)*(Feats!$D$4:$D$1005=X$2)*(Feats!$B$4:$B$1005)),MAX((Equipment!$A$7:$A$1013=1)*(Equipment!$B$7:$B$1013=$A12)*(Equipment!$C$7:$C$1013=X$2)*(Equipment!$G$7:$G$1013)))</f>
        <v>0</v>
      </c>
      <c r="Y12" s="8">
        <f t="array" ref="Y12">MAX(MAX(('Active Spells'!$C$4:$C$1005=1)*('Active Spells'!$E$4:$E$1005=$A12)*('Active Spells'!$F$4:$F$1005=Y$2)*('Active Spells'!$D$4:$D$1005)),MAX((Feats!$C$4:$C$1005=$A12)*(Feats!$D$4:$D$1005=Y$2)*(Feats!$B$4:$B$1005)),MAX((Equipment!$A$7:$A$1013=1)*(Equipment!$B$7:$B$1013=$A12)*(Equipment!$C$7:$C$1013=Y$2)*(Equipment!$G$7:$G$1013)))</f>
        <v>0</v>
      </c>
      <c r="Z12" s="8">
        <f t="array" ref="Z12">MAX(MAX(('Active Spells'!$C$4:$C$1005=1)*('Active Spells'!$E$4:$E$1005=$A12)*('Active Spells'!$F$4:$F$1005=Z$2)*('Active Spells'!$D$4:$D$1005)),MAX((Feats!$C$4:$C$1005=$A12)*(Feats!$D$4:$D$1005=Z$2)*(Feats!$B$4:$B$1005)),MAX((Equipment!$A$7:$A$1013=1)*(Equipment!$B$7:$B$1013=$A12)*(Equipment!$C$7:$C$1013=Z$2)*(Equipment!$G$7:$G$1013)))</f>
        <v>0</v>
      </c>
      <c r="AA12" s="8">
        <f t="array" ref="AA12">MAX(MAX(('Active Spells'!$C$4:$C$1005=1)*('Active Spells'!$E$4:$E$1005=$A12)*('Active Spells'!$F$4:$F$1005=AA$2)*('Active Spells'!$D$4:$D$1005)),MAX((Feats!$C$4:$C$1005=$A12)*(Feats!$D$4:$D$1005=AA$2)*(Feats!$B$4:$B$1005)),MAX((Equipment!$A$7:$A$1013=1)*(Equipment!$B$7:$B$1013=$A12)*(Equipment!$C$7:$C$1013=AA$2)*(Equipment!$G$7:$G$1013)))</f>
        <v>0</v>
      </c>
    </row>
    <row r="13" spans="1:27" x14ac:dyDescent="0.2">
      <c r="A13" s="6" t="s">
        <v>266</v>
      </c>
      <c r="B13" s="8">
        <f t="array" ref="B13">MAX(MAX(('Active Spells'!$C$4:$C$1005=1)*('Active Spells'!$E$4:$E$1005=$A13)*('Active Spells'!$F$4:$F$1005=B$2)*('Active Spells'!$D$4:$D$1005)),MAX((Feats!$C$4:$C$1005=$A13)*(Feats!$D$4:$D$1005=B$2)*(Feats!$B$4:$B$1005)),MAX((Equipment!$A$7:$A$1013=1)*(Equipment!$B$7:$B$1013=$A13)*(Equipment!$C$7:$C$1013=B$2)*(Equipment!$G$7:$G$1013)))</f>
        <v>0</v>
      </c>
      <c r="C13" s="8">
        <f t="array" ref="C13">MAX(MAX(('Active Spells'!$C$4:$C$1005=1)*('Active Spells'!$E$4:$E$1005=$A13)*('Active Spells'!$F$4:$F$1005=C$2)*('Active Spells'!$D$4:$D$1005)),MAX((Feats!$C$4:$C$1005=$A13)*(Feats!$D$4:$D$1005=C$2)*(Feats!$B$4:$B$1005)),MAX((Equipment!$A$7:$A$1013=1)*(Equipment!$B$7:$B$1013=$A13)*(Equipment!$C$7:$C$1013=C$2)*(Equipment!$G$7:$G$1013)))</f>
        <v>0</v>
      </c>
      <c r="D13" s="8">
        <f t="array" ref="D13">MAX(MAX(('Active Spells'!$C$4:$C$1005=1)*('Active Spells'!$E$4:$E$1005=$A13)*('Active Spells'!$F$4:$F$1005=D$2)*('Active Spells'!$D$4:$D$1005)),MAX((Feats!$C$4:$C$1005=$A13)*(Feats!$D$4:$D$1005=D$2)*(Feats!$B$4:$B$1005)),MAX((Equipment!$A$7:$A$1013=1)*(Equipment!$B$7:$B$1013=$A13)*(Equipment!$C$7:$C$1013=D$2)*(Equipment!$G$7:$G$1013)))</f>
        <v>0</v>
      </c>
      <c r="E13" s="8">
        <f t="array" ref="E13">MAX(MAX(('Active Spells'!$C$4:$C$1005=1)*('Active Spells'!$E$4:$E$1005=$A13)*('Active Spells'!$F$4:$F$1005=E$2)*('Active Spells'!$D$4:$D$1005)),MAX((Feats!$C$4:$C$1005=$A13)*(Feats!$D$4:$D$1005=E$2)*(Feats!$B$4:$B$1005)),MAX((Equipment!$A$7:$A$1013=1)*(Equipment!$B$7:$B$1013=$A13)*(Equipment!$C$7:$C$1013=E$2)*(Equipment!$G$7:$G$1013)))</f>
        <v>0</v>
      </c>
      <c r="F13" s="8">
        <f t="array" ref="F13">MAX(MAX(('Active Spells'!$C$4:$C$1005=1)*('Active Spells'!$E$4:$E$1005=$A13)*('Active Spells'!$F$4:$F$1005=F$2)*('Active Spells'!$D$4:$D$1005)),MAX((Feats!$C$4:$C$1005=$A13)*(Feats!$D$4:$D$1005=F$2)*(Feats!$B$4:$B$1005)),MAX((Equipment!$A$7:$A$1013=1)*(Equipment!$B$7:$B$1013=$A13)*(Equipment!$C$7:$C$1013=F$2)*(Equipment!$G$7:$G$1013)))</f>
        <v>0</v>
      </c>
      <c r="G13" s="8">
        <f t="array" ref="G13">MAX(MAX(('Active Spells'!$C$4:$C$1005=1)*('Active Spells'!$E$4:$E$1005=$A13)*('Active Spells'!$F$4:$F$1005=G$2)*('Active Spells'!$D$4:$D$1005)),MAX((Feats!$C$4:$C$1005=$A13)*(Feats!$D$4:$D$1005=G$2)*(Feats!$B$4:$B$1005)),MAX((Equipment!$A$7:$A$1013=1)*(Equipment!$B$7:$B$1013=$A13)*(Equipment!$C$7:$C$1013=G$2)*(Equipment!$G$7:$G$1013)))</f>
        <v>0</v>
      </c>
      <c r="H13" s="8">
        <f t="array" ref="H13">MAX(MAX(('Active Spells'!$C$4:$C$1005=1)*('Active Spells'!$E$4:$E$1005=$A13)*('Active Spells'!$F$4:$F$1005=H$2)*('Active Spells'!$D$4:$D$1005)),MAX((Feats!$C$4:$C$1005=$A13)*(Feats!$D$4:$D$1005=H$2)*(Feats!$B$4:$B$1005)),MAX((Equipment!$A$7:$A$1013=1)*(Equipment!$B$7:$B$1013=$A13)*(Equipment!$C$7:$C$1013=H$2)*(Equipment!$G$7:$G$1013)))</f>
        <v>0</v>
      </c>
      <c r="I13" s="8">
        <f t="array" ref="I13">MAX(MAX(('Active Spells'!$C$4:$C$1005=1)*('Active Spells'!$E$4:$E$1005=$A13)*('Active Spells'!$F$4:$F$1005=I$2)*('Active Spells'!$D$4:$D$1005)),MAX((Feats!$C$4:$C$1005=$A13)*(Feats!$D$4:$D$1005=I$2)*(Feats!$B$4:$B$1005)),MAX((Equipment!$A$7:$A$1013=1)*(Equipment!$B$7:$B$1013=$A13)*(Equipment!$C$7:$C$1013=I$2)*(Equipment!$G$7:$G$1013)))</f>
        <v>0</v>
      </c>
      <c r="J13" s="8">
        <f t="array" ref="J13">MAX(MAX(('Active Spells'!$C$4:$C$1005=1)*('Active Spells'!$E$4:$E$1005=$A13)*('Active Spells'!$F$4:$F$1005=J$2)*('Active Spells'!$D$4:$D$1005)),MAX((Feats!$C$4:$C$1005=$A13)*(Feats!$D$4:$D$1005=J$2)*(Feats!$B$4:$B$1005)),MAX((Equipment!$A$7:$A$1013=1)*(Equipment!$B$7:$B$1013=$A13)*(Equipment!$C$7:$C$1013=J$2)*(Equipment!$G$7:$G$1013)))</f>
        <v>0</v>
      </c>
      <c r="K13" s="8">
        <f t="array" ref="K13">MAX(MAX(('Active Spells'!$C$4:$C$1005=1)*('Active Spells'!$E$4:$E$1005=$A13)*('Active Spells'!$F$4:$F$1005=K$2)*('Active Spells'!$D$4:$D$1005)),MAX((Feats!$C$4:$C$1005=$A13)*(Feats!$D$4:$D$1005=K$2)*(Feats!$B$4:$B$1005)),MAX((Equipment!$A$7:$A$1013=1)*(Equipment!$B$7:$B$1013=$A13)*(Equipment!$C$7:$C$1013=K$2)*(Equipment!$G$7:$G$1013)))</f>
        <v>0</v>
      </c>
      <c r="L13" s="8">
        <f t="array" ref="L13">MAX(MAX(('Active Spells'!$C$4:$C$1005=1)*('Active Spells'!$E$4:$E$1005=$A13)*('Active Spells'!$F$4:$F$1005=L$2)*('Active Spells'!$D$4:$D$1005)),MAX((Feats!$C$4:$C$1005=$A13)*(Feats!$D$4:$D$1005=L$2)*(Feats!$B$4:$B$1005)),MAX((Equipment!$A$7:$A$1013=1)*(Equipment!$B$7:$B$1013=$A13)*(Equipment!$C$7:$C$1013=L$2)*(Equipment!$G$7:$G$1013)))</f>
        <v>0</v>
      </c>
      <c r="M13" s="8">
        <f t="array" ref="M13">MAX(MAX(('Active Spells'!$C$4:$C$1005=1)*('Active Spells'!$E$4:$E$1005=$A13)*('Active Spells'!$F$4:$F$1005=M$2)*('Active Spells'!$D$4:$D$1005),('Active Spells'!$C$4:$C$1005=1)*('Active Spells'!$E$4:$E$1005=$A13)*('Active Spells'!$F$4:$F$1005="Saves")*('Active Spells'!$D$4:$D$1005)),MAX((Feats!$C$4:$C$1005=$A13)*(Feats!$D$4:$D$1005=M$2)*(Feats!$B$4:$B$1005),(Feats!$C$4:$C$1005=$A13)*(Feats!$D$4:$D$1005="Saves")*(Feats!$B$4:$B$1005)),MAX((Equipment!$A$7:$A$1013=1)*(Equipment!$B$7:$B$1013=$A13)*(Equipment!$C$7:$C$1013=M$2)*(Equipment!$G$7:$G$1013),(Equipment!$A$7:$A$1013=1)*(Equipment!$B$7:$B$1013=$A13)*(Equipment!$C$7:$C$1013="Saves")*(Equipment!$G$7:$G$1013)))</f>
        <v>0</v>
      </c>
      <c r="N13" s="8">
        <f t="array" ref="N13">MAX(MAX(('Active Spells'!$C$4:$C$1005=1)*('Active Spells'!$E$4:$E$1005=$A13)*('Active Spells'!$F$4:$F$1005=N$2)*('Active Spells'!$D$4:$D$1005),('Active Spells'!$C$4:$C$1005=1)*('Active Spells'!$E$4:$E$1005=$A13)*('Active Spells'!$F$4:$F$1005="Saves")*('Active Spells'!$D$4:$D$1005)),MAX((Feats!$C$4:$C$1005=$A13)*(Feats!$D$4:$D$1005=N$2)*(Feats!$B$4:$B$1005),(Feats!$C$4:$C$1005=$A13)*(Feats!$D$4:$D$1005="Saves")*(Feats!$B$4:$B$1005)),MAX((Equipment!$A$7:$A$1013=1)*(Equipment!$B$7:$B$1013=$A13)*(Equipment!$C$7:$C$1013=N$2)*(Equipment!$G$7:$G$1013),(Equipment!$A$7:$A$1013=1)*(Equipment!$B$7:$B$1013=$A13)*(Equipment!$C$7:$C$1013="Saves")*(Equipment!$G$7:$G$1013)))</f>
        <v>0</v>
      </c>
      <c r="O13" s="8">
        <f t="array" ref="O13">MAX(MAX(('Active Spells'!$C$4:$C$1005=1)*('Active Spells'!$E$4:$E$1005=$A13)*('Active Spells'!$F$4:$F$1005=O$2)*('Active Spells'!$D$4:$D$1005),('Active Spells'!$C$4:$C$1005=1)*('Active Spells'!$E$4:$E$1005=$A13)*('Active Spells'!$F$4:$F$1005="Saves")*('Active Spells'!$D$4:$D$1005)),MAX((Feats!$C$4:$C$1005=$A13)*(Feats!$D$4:$D$1005=O$2)*(Feats!$B$4:$B$1005),(Feats!$C$4:$C$1005=$A13)*(Feats!$D$4:$D$1005="Saves")*(Feats!$B$4:$B$1005)),MAX((Equipment!$A$7:$A$1013=1)*(Equipment!$B$7:$B$1013=$A13)*(Equipment!$C$7:$C$1013=O$2)*(Equipment!$G$7:$G$1013),(Equipment!$A$7:$A$1013=1)*(Equipment!$B$7:$B$1013=$A13)*(Equipment!$C$7:$C$1013="Saves")*(Equipment!$G$7:$G$1013)))</f>
        <v>0</v>
      </c>
      <c r="P13" s="8">
        <f t="array" ref="P13">MAX(MAX(('Active Spells'!$C$4:$C$1005=1)*('Active Spells'!$E$4:$E$1005=$A13)*('Active Spells'!$F$4:$F$1005=P$2)*('Active Spells'!$D$4:$D$1005)),MAX((Feats!$C$4:$C$1005=$A13)*(Feats!$D$4:$D$1005=P$2)*(Feats!$B$4:$B$1005)),MAX((Equipment!$A$7:$A$1013=1)*(Equipment!$B$7:$B$1013=$A13)*(Equipment!$C$7:$C$1013=P$2)*(Equipment!$G$7:$G$1013)))</f>
        <v>0</v>
      </c>
      <c r="Q13" s="8">
        <f t="array" ref="Q13">MAX(MAX(('Active Spells'!$C$4:$C$1005=1)*('Active Spells'!$E$4:$E$1005=$A13)*('Active Spells'!$F$4:$F$1005=Q$2)*('Active Spells'!$D$4:$D$1005)),MAX((Feats!$C$4:$C$1005=$A13)*(Feats!$D$4:$D$1005=Q$2)*(Feats!$B$4:$B$1005)),MAX((Equipment!$A$7:$A$1013=1)*(Equipment!$B$7:$B$1013=$A13)*(Equipment!$C$7:$C$1013=Q$2)*(Equipment!$G$7:$G$1013)))</f>
        <v>0</v>
      </c>
      <c r="R13" s="8">
        <f t="array" ref="R13">MAX(MAX(('Active Spells'!$C$4:$C$1005=1)*('Active Spells'!$E$4:$E$1005=$A13)*('Active Spells'!$F$4:$F$1005=R$2)*('Active Spells'!$D$4:$D$1005)),MAX((Feats!$C$4:$C$1005=$A13)*(Feats!$D$4:$D$1005=R$2)*(Feats!$B$4:$B$1005)),MAX((Equipment!$A$7:$A$1013=1)*(Equipment!$B$7:$B$1013=$A13)*(Equipment!$C$7:$C$1013=R$2)*(Equipment!$G$7:$G$1013)))</f>
        <v>0</v>
      </c>
      <c r="S13" s="8">
        <f t="array" ref="S13">MAX(MAX(('Active Spells'!$C$4:$C$1005=1)*('Active Spells'!$E$4:$E$1005=$A13)*('Active Spells'!$F$4:$F$1005=S$2)*('Active Spells'!$D$4:$D$1005)),MAX((Feats!$C$4:$C$1005=$A13)*(Feats!$D$4:$D$1005=S$2)*(Feats!$B$4:$B$1005)),MAX((Equipment!$A$7:$A$1013=1)*(Equipment!$B$7:$B$1013=$A13)*(Equipment!$C$7:$C$1013=S$2)*(Equipment!$G$7:$G$1013)))</f>
        <v>0</v>
      </c>
      <c r="T13" s="8">
        <f t="array" ref="T13">MAX(MAX(('Active Spells'!$C$4:$C$1005=1)*('Active Spells'!$E$4:$E$1005=$A13)*('Active Spells'!$F$4:$F$1005=T$2)*('Active Spells'!$D$4:$D$1005)),MAX((Feats!$C$4:$C$1005=$A13)*(Feats!$D$4:$D$1005=T$2)*(Feats!$B$4:$B$1005)),MAX((Equipment!$A$7:$A$1013=1)*(Equipment!$B$7:$B$1013=$A13)*(Equipment!$C$7:$C$1013=T$2)*(Equipment!$G$7:$G$1013)))</f>
        <v>0</v>
      </c>
      <c r="U13" s="8">
        <f t="array" ref="U13">MAX(MAX(('Active Spells'!$C$4:$C$1005=1)*('Active Spells'!$E$4:$E$1005=$A13)*('Active Spells'!$F$4:$F$1005=U$2)*('Active Spells'!$D$4:$D$1005)),MAX((Feats!$C$4:$C$1005=$A13)*(Feats!$D$4:$D$1005=U$2)*(Feats!$B$4:$B$1005)),MAX((Equipment!$A$7:$A$1013=1)*(Equipment!$B$7:$B$1013=$A13)*(Equipment!$C$7:$C$1013=U$2)*(Equipment!$G$7:$G$1013)))</f>
        <v>0</v>
      </c>
      <c r="V13" s="8">
        <f t="array" ref="V13">MAX(MAX(('Active Spells'!$C$4:$C$1005=1)*('Active Spells'!$E$4:$E$1005=$A13)*('Active Spells'!$F$4:$F$1005=V$2)*('Active Spells'!$D$4:$D$1005)),MAX((Feats!$C$4:$C$1005=$A13)*(Feats!$D$4:$D$1005=V$2)*(Feats!$B$4:$B$1005)),MAX((Equipment!$A$7:$A$1013=1)*(Equipment!$B$7:$B$1013=$A13)*(Equipment!$C$7:$C$1013=V$2)*(Equipment!$G$7:$G$1013)))</f>
        <v>0</v>
      </c>
      <c r="W13" s="8">
        <f t="array" ref="W13">MAX(MAX(('Active Spells'!$C$4:$C$1005=1)*('Active Spells'!$E$4:$E$1005=$A13)*('Active Spells'!$F$4:$F$1005=W$2)*('Active Spells'!$D$4:$D$1005)),MAX((Feats!$C$4:$C$1005=$A13)*(Feats!$D$4:$D$1005=W$2)*(Feats!$B$4:$B$1005)),MAX((Equipment!$A$7:$A$1013=1)*(Equipment!$B$7:$B$1013=$A13)*(Equipment!$C$7:$C$1013=W$2)*(Equipment!$G$7:$G$1013)))</f>
        <v>0</v>
      </c>
      <c r="X13" s="8">
        <f t="array" ref="X13">MAX(MAX(('Active Spells'!$C$4:$C$1005=1)*('Active Spells'!$E$4:$E$1005=$A13)*('Active Spells'!$F$4:$F$1005=X$2)*('Active Spells'!$D$4:$D$1005)),MAX((Feats!$C$4:$C$1005=$A13)*(Feats!$D$4:$D$1005=X$2)*(Feats!$B$4:$B$1005)),MAX((Equipment!$A$7:$A$1013=1)*(Equipment!$B$7:$B$1013=$A13)*(Equipment!$C$7:$C$1013=X$2)*(Equipment!$G$7:$G$1013)))</f>
        <v>0</v>
      </c>
      <c r="Y13" s="8">
        <f t="array" ref="Y13">MAX(MAX(('Active Spells'!$C$4:$C$1005=1)*('Active Spells'!$E$4:$E$1005=$A13)*('Active Spells'!$F$4:$F$1005=Y$2)*('Active Spells'!$D$4:$D$1005)),MAX((Feats!$C$4:$C$1005=$A13)*(Feats!$D$4:$D$1005=Y$2)*(Feats!$B$4:$B$1005)),MAX((Equipment!$A$7:$A$1013=1)*(Equipment!$B$7:$B$1013=$A13)*(Equipment!$C$7:$C$1013=Y$2)*(Equipment!$G$7:$G$1013)))</f>
        <v>0</v>
      </c>
      <c r="Z13" s="8">
        <f t="array" ref="Z13">MAX(MAX(('Active Spells'!$C$4:$C$1005=1)*('Active Spells'!$E$4:$E$1005=$A13)*('Active Spells'!$F$4:$F$1005=Z$2)*('Active Spells'!$D$4:$D$1005)),MAX((Feats!$C$4:$C$1005=$A13)*(Feats!$D$4:$D$1005=Z$2)*(Feats!$B$4:$B$1005)),MAX((Equipment!$A$7:$A$1013=1)*(Equipment!$B$7:$B$1013=$A13)*(Equipment!$C$7:$C$1013=Z$2)*(Equipment!$G$7:$G$1013)))</f>
        <v>0</v>
      </c>
      <c r="AA13" s="8">
        <f t="array" ref="AA13">MAX(MAX(('Active Spells'!$C$4:$C$1005=1)*('Active Spells'!$E$4:$E$1005=$A13)*('Active Spells'!$F$4:$F$1005=AA$2)*('Active Spells'!$D$4:$D$1005)),MAX((Feats!$C$4:$C$1005=$A13)*(Feats!$D$4:$D$1005=AA$2)*(Feats!$B$4:$B$1005)),MAX((Equipment!$A$7:$A$1013=1)*(Equipment!$B$7:$B$1013=$A13)*(Equipment!$C$7:$C$1013=AA$2)*(Equipment!$G$7:$G$1013)))</f>
        <v>0</v>
      </c>
    </row>
    <row r="14" spans="1:27" x14ac:dyDescent="0.2">
      <c r="A14" s="6" t="s">
        <v>267</v>
      </c>
      <c r="B14" s="8">
        <f t="array" ref="B14">MAX(MAX(('Active Spells'!$C$4:$C$1005=1)*('Active Spells'!$E$4:$E$1005=$A14)*('Active Spells'!$F$4:$F$1005=B$2)*('Active Spells'!$D$4:$D$1005)),MAX((Feats!$C$4:$C$1005=$A14)*(Feats!$D$4:$D$1005=B$2)*(Feats!$B$4:$B$1005)),MAX((Equipment!$A$7:$A$1013=1)*(Equipment!$B$7:$B$1013=$A14)*(Equipment!$C$7:$C$1013=B$2)*(Equipment!$G$7:$G$1013)))</f>
        <v>0</v>
      </c>
      <c r="C14" s="8">
        <f t="array" ref="C14">MAX(MAX(('Active Spells'!$C$4:$C$1005=1)*('Active Spells'!$E$4:$E$1005=$A14)*('Active Spells'!$F$4:$F$1005=C$2)*('Active Spells'!$D$4:$D$1005)),MAX((Feats!$C$4:$C$1005=$A14)*(Feats!$D$4:$D$1005=C$2)*(Feats!$B$4:$B$1005)),MAX((Equipment!$A$7:$A$1013=1)*(Equipment!$B$7:$B$1013=$A14)*(Equipment!$C$7:$C$1013=C$2)*(Equipment!$G$7:$G$1013)))</f>
        <v>0</v>
      </c>
      <c r="D14" s="8">
        <f t="array" ref="D14">MAX(MAX(('Active Spells'!$C$4:$C$1005=1)*('Active Spells'!$E$4:$E$1005=$A14)*('Active Spells'!$F$4:$F$1005=D$2)*('Active Spells'!$D$4:$D$1005)),MAX((Feats!$C$4:$C$1005=$A14)*(Feats!$D$4:$D$1005=D$2)*(Feats!$B$4:$B$1005)),MAX((Equipment!$A$7:$A$1013=1)*(Equipment!$B$7:$B$1013=$A14)*(Equipment!$C$7:$C$1013=D$2)*(Equipment!$G$7:$G$1013)))</f>
        <v>0</v>
      </c>
      <c r="E14" s="8">
        <f t="array" ref="E14">MAX(MAX(('Active Spells'!$C$4:$C$1005=1)*('Active Spells'!$E$4:$E$1005=$A14)*('Active Spells'!$F$4:$F$1005=E$2)*('Active Spells'!$D$4:$D$1005)),MAX((Feats!$C$4:$C$1005=$A14)*(Feats!$D$4:$D$1005=E$2)*(Feats!$B$4:$B$1005)),MAX((Equipment!$A$7:$A$1013=1)*(Equipment!$B$7:$B$1013=$A14)*(Equipment!$C$7:$C$1013=E$2)*(Equipment!$G$7:$G$1013)))</f>
        <v>0</v>
      </c>
      <c r="F14" s="8">
        <f t="array" ref="F14">MAX(MAX(('Active Spells'!$C$4:$C$1005=1)*('Active Spells'!$E$4:$E$1005=$A14)*('Active Spells'!$F$4:$F$1005=F$2)*('Active Spells'!$D$4:$D$1005)),MAX((Feats!$C$4:$C$1005=$A14)*(Feats!$D$4:$D$1005=F$2)*(Feats!$B$4:$B$1005)),MAX((Equipment!$A$7:$A$1013=1)*(Equipment!$B$7:$B$1013=$A14)*(Equipment!$C$7:$C$1013=F$2)*(Equipment!$G$7:$G$1013)))</f>
        <v>0</v>
      </c>
      <c r="G14" s="8">
        <f t="array" ref="G14">MAX(MAX(('Active Spells'!$C$4:$C$1005=1)*('Active Spells'!$E$4:$E$1005=$A14)*('Active Spells'!$F$4:$F$1005=G$2)*('Active Spells'!$D$4:$D$1005)),MAX((Feats!$C$4:$C$1005=$A14)*(Feats!$D$4:$D$1005=G$2)*(Feats!$B$4:$B$1005)),MAX((Equipment!$A$7:$A$1013=1)*(Equipment!$B$7:$B$1013=$A14)*(Equipment!$C$7:$C$1013=G$2)*(Equipment!$G$7:$G$1013)))</f>
        <v>0</v>
      </c>
      <c r="H14" s="8">
        <f t="array" ref="H14">MAX(MAX(('Active Spells'!$C$4:$C$1005=1)*('Active Spells'!$E$4:$E$1005=$A14)*('Active Spells'!$F$4:$F$1005=H$2)*('Active Spells'!$D$4:$D$1005)),MAX((Feats!$C$4:$C$1005=$A14)*(Feats!$D$4:$D$1005=H$2)*(Feats!$B$4:$B$1005)),MAX((Equipment!$A$7:$A$1013=1)*(Equipment!$B$7:$B$1013=$A14)*(Equipment!$C$7:$C$1013=H$2)*(Equipment!$G$7:$G$1013)))</f>
        <v>0</v>
      </c>
      <c r="I14" s="8">
        <f t="array" ref="I14">MAX(MAX(('Active Spells'!$C$4:$C$1005=1)*('Active Spells'!$E$4:$E$1005=$A14)*('Active Spells'!$F$4:$F$1005=I$2)*('Active Spells'!$D$4:$D$1005)),MAX((Feats!$C$4:$C$1005=$A14)*(Feats!$D$4:$D$1005=I$2)*(Feats!$B$4:$B$1005)),MAX((Equipment!$A$7:$A$1013=1)*(Equipment!$B$7:$B$1013=$A14)*(Equipment!$C$7:$C$1013=I$2)*(Equipment!$G$7:$G$1013)))</f>
        <v>2</v>
      </c>
      <c r="J14" s="8">
        <f t="array" ref="J14">MAX(MAX(('Active Spells'!$C$4:$C$1005=1)*('Active Spells'!$E$4:$E$1005=$A14)*('Active Spells'!$F$4:$F$1005=J$2)*('Active Spells'!$D$4:$D$1005)),MAX((Feats!$C$4:$C$1005=$A14)*(Feats!$D$4:$D$1005=J$2)*(Feats!$B$4:$B$1005)),MAX((Equipment!$A$7:$A$1013=1)*(Equipment!$B$7:$B$1013=$A14)*(Equipment!$C$7:$C$1013=J$2)*(Equipment!$G$7:$G$1013)))</f>
        <v>0</v>
      </c>
      <c r="K14" s="8">
        <f t="array" ref="K14">MAX(MAX(('Active Spells'!$C$4:$C$1005=1)*('Active Spells'!$E$4:$E$1005=$A14)*('Active Spells'!$F$4:$F$1005=K$2)*('Active Spells'!$D$4:$D$1005)),MAX((Feats!$C$4:$C$1005=$A14)*(Feats!$D$4:$D$1005=K$2)*(Feats!$B$4:$B$1005)),MAX((Equipment!$A$7:$A$1013=1)*(Equipment!$B$7:$B$1013=$A14)*(Equipment!$C$7:$C$1013=K$2)*(Equipment!$G$7:$G$1013)))</f>
        <v>0</v>
      </c>
      <c r="L14" s="8">
        <f t="array" ref="L14">MAX(MAX(('Active Spells'!$C$4:$C$1005=1)*('Active Spells'!$E$4:$E$1005=$A14)*('Active Spells'!$F$4:$F$1005=L$2)*('Active Spells'!$D$4:$D$1005)),MAX((Feats!$C$4:$C$1005=$A14)*(Feats!$D$4:$D$1005=L$2)*(Feats!$B$4:$B$1005)),MAX((Equipment!$A$7:$A$1013=1)*(Equipment!$B$7:$B$1013=$A14)*(Equipment!$C$7:$C$1013=L$2)*(Equipment!$G$7:$G$1013)))</f>
        <v>0</v>
      </c>
      <c r="M14" s="8">
        <f t="array" ref="M14">MAX(MAX(('Active Spells'!$C$4:$C$1005=1)*('Active Spells'!$E$4:$E$1005=$A14)*('Active Spells'!$F$4:$F$1005=M$2)*('Active Spells'!$D$4:$D$1005),('Active Spells'!$C$4:$C$1005=1)*('Active Spells'!$E$4:$E$1005=$A14)*('Active Spells'!$F$4:$F$1005="Saves")*('Active Spells'!$D$4:$D$1005)),MAX((Feats!$C$4:$C$1005=$A14)*(Feats!$D$4:$D$1005=M$2)*(Feats!$B$4:$B$1005),(Feats!$C$4:$C$1005=$A14)*(Feats!$D$4:$D$1005="Saves")*(Feats!$B$4:$B$1005)),MAX((Equipment!$A$7:$A$1013=1)*(Equipment!$B$7:$B$1013=$A14)*(Equipment!$C$7:$C$1013=M$2)*(Equipment!$G$7:$G$1013),(Equipment!$A$7:$A$1013=1)*(Equipment!$B$7:$B$1013=$A14)*(Equipment!$C$7:$C$1013="Saves")*(Equipment!$G$7:$G$1013)))</f>
        <v>0</v>
      </c>
      <c r="N14" s="8">
        <f t="array" ref="N14">MAX(MAX(('Active Spells'!$C$4:$C$1005=1)*('Active Spells'!$E$4:$E$1005=$A14)*('Active Spells'!$F$4:$F$1005=N$2)*('Active Spells'!$D$4:$D$1005),('Active Spells'!$C$4:$C$1005=1)*('Active Spells'!$E$4:$E$1005=$A14)*('Active Spells'!$F$4:$F$1005="Saves")*('Active Spells'!$D$4:$D$1005)),MAX((Feats!$C$4:$C$1005=$A14)*(Feats!$D$4:$D$1005=N$2)*(Feats!$B$4:$B$1005),(Feats!$C$4:$C$1005=$A14)*(Feats!$D$4:$D$1005="Saves")*(Feats!$B$4:$B$1005)),MAX((Equipment!$A$7:$A$1013=1)*(Equipment!$B$7:$B$1013=$A14)*(Equipment!$C$7:$C$1013=N$2)*(Equipment!$G$7:$G$1013),(Equipment!$A$7:$A$1013=1)*(Equipment!$B$7:$B$1013=$A14)*(Equipment!$C$7:$C$1013="Saves")*(Equipment!$G$7:$G$1013)))</f>
        <v>0</v>
      </c>
      <c r="O14" s="8">
        <f t="array" ref="O14">MAX(MAX(('Active Spells'!$C$4:$C$1005=1)*('Active Spells'!$E$4:$E$1005=$A14)*('Active Spells'!$F$4:$F$1005=O$2)*('Active Spells'!$D$4:$D$1005),('Active Spells'!$C$4:$C$1005=1)*('Active Spells'!$E$4:$E$1005=$A14)*('Active Spells'!$F$4:$F$1005="Saves")*('Active Spells'!$D$4:$D$1005)),MAX((Feats!$C$4:$C$1005=$A14)*(Feats!$D$4:$D$1005=O$2)*(Feats!$B$4:$B$1005),(Feats!$C$4:$C$1005=$A14)*(Feats!$D$4:$D$1005="Saves")*(Feats!$B$4:$B$1005)),MAX((Equipment!$A$7:$A$1013=1)*(Equipment!$B$7:$B$1013=$A14)*(Equipment!$C$7:$C$1013=O$2)*(Equipment!$G$7:$G$1013),(Equipment!$A$7:$A$1013=1)*(Equipment!$B$7:$B$1013=$A14)*(Equipment!$C$7:$C$1013="Saves")*(Equipment!$G$7:$G$1013)))</f>
        <v>0</v>
      </c>
      <c r="P14" s="8">
        <f t="array" ref="P14">MAX(MAX(('Active Spells'!$C$4:$C$1005=1)*('Active Spells'!$E$4:$E$1005=$A14)*('Active Spells'!$F$4:$F$1005=P$2)*('Active Spells'!$D$4:$D$1005)),MAX((Feats!$C$4:$C$1005=$A14)*(Feats!$D$4:$D$1005=P$2)*(Feats!$B$4:$B$1005)),MAX((Equipment!$A$7:$A$1013=1)*(Equipment!$B$7:$B$1013=$A14)*(Equipment!$C$7:$C$1013=P$2)*(Equipment!$G$7:$G$1013)))</f>
        <v>0</v>
      </c>
      <c r="Q14" s="8">
        <f t="array" ref="Q14">MAX(MAX(('Active Spells'!$C$4:$C$1005=1)*('Active Spells'!$E$4:$E$1005=$A14)*('Active Spells'!$F$4:$F$1005=Q$2)*('Active Spells'!$D$4:$D$1005)),MAX((Feats!$C$4:$C$1005=$A14)*(Feats!$D$4:$D$1005=Q$2)*(Feats!$B$4:$B$1005)),MAX((Equipment!$A$7:$A$1013=1)*(Equipment!$B$7:$B$1013=$A14)*(Equipment!$C$7:$C$1013=Q$2)*(Equipment!$G$7:$G$1013)))</f>
        <v>0</v>
      </c>
      <c r="R14" s="8">
        <f t="array" ref="R14">MAX(MAX(('Active Spells'!$C$4:$C$1005=1)*('Active Spells'!$E$4:$E$1005=$A14)*('Active Spells'!$F$4:$F$1005=R$2)*('Active Spells'!$D$4:$D$1005)),MAX((Feats!$C$4:$C$1005=$A14)*(Feats!$D$4:$D$1005=R$2)*(Feats!$B$4:$B$1005)),MAX((Equipment!$A$7:$A$1013=1)*(Equipment!$B$7:$B$1013=$A14)*(Equipment!$C$7:$C$1013=R$2)*(Equipment!$G$7:$G$1013)))</f>
        <v>0</v>
      </c>
      <c r="S14" s="8">
        <f t="array" ref="S14">MAX(MAX(('Active Spells'!$C$4:$C$1005=1)*('Active Spells'!$E$4:$E$1005=$A14)*('Active Spells'!$F$4:$F$1005=S$2)*('Active Spells'!$D$4:$D$1005)),MAX((Feats!$C$4:$C$1005=$A14)*(Feats!$D$4:$D$1005=S$2)*(Feats!$B$4:$B$1005)),MAX((Equipment!$A$7:$A$1013=1)*(Equipment!$B$7:$B$1013=$A14)*(Equipment!$C$7:$C$1013=S$2)*(Equipment!$G$7:$G$1013)))</f>
        <v>0</v>
      </c>
      <c r="T14" s="8">
        <f t="array" ref="T14">MAX(MAX(('Active Spells'!$C$4:$C$1005=1)*('Active Spells'!$E$4:$E$1005=$A14)*('Active Spells'!$F$4:$F$1005=T$2)*('Active Spells'!$D$4:$D$1005)),MAX((Feats!$C$4:$C$1005=$A14)*(Feats!$D$4:$D$1005=T$2)*(Feats!$B$4:$B$1005)),MAX((Equipment!$A$7:$A$1013=1)*(Equipment!$B$7:$B$1013=$A14)*(Equipment!$C$7:$C$1013=T$2)*(Equipment!$G$7:$G$1013)))</f>
        <v>0</v>
      </c>
      <c r="U14" s="8">
        <f t="array" ref="U14">MAX(MAX(('Active Spells'!$C$4:$C$1005=1)*('Active Spells'!$E$4:$E$1005=$A14)*('Active Spells'!$F$4:$F$1005=U$2)*('Active Spells'!$D$4:$D$1005)),MAX((Feats!$C$4:$C$1005=$A14)*(Feats!$D$4:$D$1005=U$2)*(Feats!$B$4:$B$1005)),MAX((Equipment!$A$7:$A$1013=1)*(Equipment!$B$7:$B$1013=$A14)*(Equipment!$C$7:$C$1013=U$2)*(Equipment!$G$7:$G$1013)))</f>
        <v>2</v>
      </c>
      <c r="V14" s="8">
        <f t="array" ref="V14">MAX(MAX(('Active Spells'!$C$4:$C$1005=1)*('Active Spells'!$E$4:$E$1005=$A14)*('Active Spells'!$F$4:$F$1005=V$2)*('Active Spells'!$D$4:$D$1005)),MAX((Feats!$C$4:$C$1005=$A14)*(Feats!$D$4:$D$1005=V$2)*(Feats!$B$4:$B$1005)),MAX((Equipment!$A$7:$A$1013=1)*(Equipment!$B$7:$B$1013=$A14)*(Equipment!$C$7:$C$1013=V$2)*(Equipment!$G$7:$G$1013)))</f>
        <v>0</v>
      </c>
      <c r="W14" s="8">
        <f t="array" ref="W14">MAX(MAX(('Active Spells'!$C$4:$C$1005=1)*('Active Spells'!$E$4:$E$1005=$A14)*('Active Spells'!$F$4:$F$1005=W$2)*('Active Spells'!$D$4:$D$1005)),MAX((Feats!$C$4:$C$1005=$A14)*(Feats!$D$4:$D$1005=W$2)*(Feats!$B$4:$B$1005)),MAX((Equipment!$A$7:$A$1013=1)*(Equipment!$B$7:$B$1013=$A14)*(Equipment!$C$7:$C$1013=W$2)*(Equipment!$G$7:$G$1013)))</f>
        <v>0</v>
      </c>
      <c r="X14" s="8">
        <f t="array" ref="X14">MAX(MAX(('Active Spells'!$C$4:$C$1005=1)*('Active Spells'!$E$4:$E$1005=$A14)*('Active Spells'!$F$4:$F$1005=X$2)*('Active Spells'!$D$4:$D$1005)),MAX((Feats!$C$4:$C$1005=$A14)*(Feats!$D$4:$D$1005=X$2)*(Feats!$B$4:$B$1005)),MAX((Equipment!$A$7:$A$1013=1)*(Equipment!$B$7:$B$1013=$A14)*(Equipment!$C$7:$C$1013=X$2)*(Equipment!$G$7:$G$1013)))</f>
        <v>0</v>
      </c>
      <c r="Y14" s="8">
        <f t="array" ref="Y14">MAX(MAX(('Active Spells'!$C$4:$C$1005=1)*('Active Spells'!$E$4:$E$1005=$A14)*('Active Spells'!$F$4:$F$1005=Y$2)*('Active Spells'!$D$4:$D$1005)),MAX((Feats!$C$4:$C$1005=$A14)*(Feats!$D$4:$D$1005=Y$2)*(Feats!$B$4:$B$1005)),MAX((Equipment!$A$7:$A$1013=1)*(Equipment!$B$7:$B$1013=$A14)*(Equipment!$C$7:$C$1013=Y$2)*(Equipment!$G$7:$G$1013)))</f>
        <v>0</v>
      </c>
      <c r="Z14" s="8">
        <f t="array" ref="Z14">MAX(MAX(('Active Spells'!$C$4:$C$1005=1)*('Active Spells'!$E$4:$E$1005=$A14)*('Active Spells'!$F$4:$F$1005=Z$2)*('Active Spells'!$D$4:$D$1005)),MAX((Feats!$C$4:$C$1005=$A14)*(Feats!$D$4:$D$1005=Z$2)*(Feats!$B$4:$B$1005)),MAX((Equipment!$A$7:$A$1013=1)*(Equipment!$B$7:$B$1013=$A14)*(Equipment!$C$7:$C$1013=Z$2)*(Equipment!$G$7:$G$1013)))</f>
        <v>0</v>
      </c>
      <c r="AA14" s="8">
        <f t="array" ref="AA14">MAX(MAX(('Active Spells'!$C$4:$C$1005=1)*('Active Spells'!$E$4:$E$1005=$A14)*('Active Spells'!$F$4:$F$1005=AA$2)*('Active Spells'!$D$4:$D$1005)),MAX((Feats!$C$4:$C$1005=$A14)*(Feats!$D$4:$D$1005=AA$2)*(Feats!$B$4:$B$1005)),MAX((Equipment!$A$7:$A$1013=1)*(Equipment!$B$7:$B$1013=$A14)*(Equipment!$C$7:$C$1013=AA$2)*(Equipment!$G$7:$G$1013)))</f>
        <v>0</v>
      </c>
    </row>
    <row r="15" spans="1:27" x14ac:dyDescent="0.2">
      <c r="A15" s="6" t="s">
        <v>268</v>
      </c>
      <c r="B15" s="8">
        <f t="array" ref="B15">MAX(MAX(('Active Spells'!$C$4:$C$1005=1)*('Active Spells'!$E$4:$E$1005=$A15)*('Active Spells'!$F$4:$F$1005=B$2)*('Active Spells'!$D$4:$D$1005)),MAX((Feats!$C$4:$C$1005=$A15)*(Feats!$D$4:$D$1005=B$2)*(Feats!$B$4:$B$1005)),MAX((Equipment!$A$7:$A$1013=1)*(Equipment!$B$7:$B$1013=$A15)*(Equipment!$C$7:$C$1013=B$2)*(Equipment!$G$7:$G$1013)))</f>
        <v>0</v>
      </c>
      <c r="C15" s="8">
        <f t="array" ref="C15">MAX(MAX(('Active Spells'!$C$4:$C$1005=1)*('Active Spells'!$E$4:$E$1005=$A15)*('Active Spells'!$F$4:$F$1005=C$2)*('Active Spells'!$D$4:$D$1005)),MAX((Feats!$C$4:$C$1005=$A15)*(Feats!$D$4:$D$1005=C$2)*(Feats!$B$4:$B$1005)),MAX((Equipment!$A$7:$A$1013=1)*(Equipment!$B$7:$B$1013=$A15)*(Equipment!$C$7:$C$1013=C$2)*(Equipment!$G$7:$G$1013)))</f>
        <v>0</v>
      </c>
      <c r="D15" s="8">
        <f t="array" ref="D15">MAX(MAX(('Active Spells'!$C$4:$C$1005=1)*('Active Spells'!$E$4:$E$1005=$A15)*('Active Spells'!$F$4:$F$1005=D$2)*('Active Spells'!$D$4:$D$1005)),MAX((Feats!$C$4:$C$1005=$A15)*(Feats!$D$4:$D$1005=D$2)*(Feats!$B$4:$B$1005)),MAX((Equipment!$A$7:$A$1013=1)*(Equipment!$B$7:$B$1013=$A15)*(Equipment!$C$7:$C$1013=D$2)*(Equipment!$G$7:$G$1013)))</f>
        <v>0</v>
      </c>
      <c r="E15" s="8">
        <f t="array" ref="E15">MAX(MAX(('Active Spells'!$C$4:$C$1005=1)*('Active Spells'!$E$4:$E$1005=$A15)*('Active Spells'!$F$4:$F$1005=E$2)*('Active Spells'!$D$4:$D$1005)),MAX((Feats!$C$4:$C$1005=$A15)*(Feats!$D$4:$D$1005=E$2)*(Feats!$B$4:$B$1005)),MAX((Equipment!$A$7:$A$1013=1)*(Equipment!$B$7:$B$1013=$A15)*(Equipment!$C$7:$C$1013=E$2)*(Equipment!$G$7:$G$1013)))</f>
        <v>0</v>
      </c>
      <c r="F15" s="8">
        <f t="array" ref="F15">MAX(MAX(('Active Spells'!$C$4:$C$1005=1)*('Active Spells'!$E$4:$E$1005=$A15)*('Active Spells'!$F$4:$F$1005=F$2)*('Active Spells'!$D$4:$D$1005)),MAX((Feats!$C$4:$C$1005=$A15)*(Feats!$D$4:$D$1005=F$2)*(Feats!$B$4:$B$1005)),MAX((Equipment!$A$7:$A$1013=1)*(Equipment!$B$7:$B$1013=$A15)*(Equipment!$C$7:$C$1013=F$2)*(Equipment!$G$7:$G$1013)))</f>
        <v>0</v>
      </c>
      <c r="G15" s="8">
        <f t="array" ref="G15">MAX(MAX(('Active Spells'!$C$4:$C$1005=1)*('Active Spells'!$E$4:$E$1005=$A15)*('Active Spells'!$F$4:$F$1005=G$2)*('Active Spells'!$D$4:$D$1005)),MAX((Feats!$C$4:$C$1005=$A15)*(Feats!$D$4:$D$1005=G$2)*(Feats!$B$4:$B$1005)),MAX((Equipment!$A$7:$A$1013=1)*(Equipment!$B$7:$B$1013=$A15)*(Equipment!$C$7:$C$1013=G$2)*(Equipment!$G$7:$G$1013)))</f>
        <v>0</v>
      </c>
      <c r="H15" s="8">
        <f t="array" ref="H15">MAX(MAX(('Active Spells'!$C$4:$C$1005=1)*('Active Spells'!$E$4:$E$1005=$A15)*('Active Spells'!$F$4:$F$1005=H$2)*('Active Spells'!$D$4:$D$1005)),MAX((Feats!$C$4:$C$1005=$A15)*(Feats!$D$4:$D$1005=H$2)*(Feats!$B$4:$B$1005)),MAX((Equipment!$A$7:$A$1013=1)*(Equipment!$B$7:$B$1013=$A15)*(Equipment!$C$7:$C$1013=H$2)*(Equipment!$G$7:$G$1013)))</f>
        <v>5</v>
      </c>
      <c r="I15" s="8">
        <f t="array" ref="I15">MAX(MAX(('Active Spells'!$C$4:$C$1005=1)*('Active Spells'!$E$4:$E$1005=$A15)*('Active Spells'!$F$4:$F$1005=I$2)*('Active Spells'!$D$4:$D$1005)),MAX((Feats!$C$4:$C$1005=$A15)*(Feats!$D$4:$D$1005=I$2)*(Feats!$B$4:$B$1005)),MAX((Equipment!$A$7:$A$1013=1)*(Equipment!$B$7:$B$1013=$A15)*(Equipment!$C$7:$C$1013=I$2)*(Equipment!$G$7:$G$1013)))</f>
        <v>0</v>
      </c>
      <c r="J15" s="8">
        <f t="array" ref="J15">MAX(MAX(('Active Spells'!$C$4:$C$1005=1)*('Active Spells'!$E$4:$E$1005=$A15)*('Active Spells'!$F$4:$F$1005=J$2)*('Active Spells'!$D$4:$D$1005)),MAX((Feats!$C$4:$C$1005=$A15)*(Feats!$D$4:$D$1005=J$2)*(Feats!$B$4:$B$1005)),MAX((Equipment!$A$7:$A$1013=1)*(Equipment!$B$7:$B$1013=$A15)*(Equipment!$C$7:$C$1013=J$2)*(Equipment!$G$7:$G$1013)))</f>
        <v>0</v>
      </c>
      <c r="K15" s="8">
        <f t="array" ref="K15">MAX(MAX(('Active Spells'!$C$4:$C$1005=1)*('Active Spells'!$E$4:$E$1005=$A15)*('Active Spells'!$F$4:$F$1005=K$2)*('Active Spells'!$D$4:$D$1005)),MAX((Feats!$C$4:$C$1005=$A15)*(Feats!$D$4:$D$1005=K$2)*(Feats!$B$4:$B$1005)),MAX((Equipment!$A$7:$A$1013=1)*(Equipment!$B$7:$B$1013=$A15)*(Equipment!$C$7:$C$1013=K$2)*(Equipment!$G$7:$G$1013)))</f>
        <v>0</v>
      </c>
      <c r="L15" s="8">
        <f t="array" ref="L15">MAX(MAX(('Active Spells'!$C$4:$C$1005=1)*('Active Spells'!$E$4:$E$1005=$A15)*('Active Spells'!$F$4:$F$1005=L$2)*('Active Spells'!$D$4:$D$1005)),MAX((Feats!$C$4:$C$1005=$A15)*(Feats!$D$4:$D$1005=L$2)*(Feats!$B$4:$B$1005)),MAX((Equipment!$A$7:$A$1013=1)*(Equipment!$B$7:$B$1013=$A15)*(Equipment!$C$7:$C$1013=L$2)*(Equipment!$G$7:$G$1013)))</f>
        <v>0</v>
      </c>
      <c r="M15" s="8">
        <f t="array" ref="M15">MAX(MAX(('Active Spells'!$C$4:$C$1005=1)*('Active Spells'!$E$4:$E$1005=$A15)*('Active Spells'!$F$4:$F$1005=M$2)*('Active Spells'!$D$4:$D$1005),('Active Spells'!$C$4:$C$1005=1)*('Active Spells'!$E$4:$E$1005=$A15)*('Active Spells'!$F$4:$F$1005="Saves")*('Active Spells'!$D$4:$D$1005)),MAX((Feats!$C$4:$C$1005=$A15)*(Feats!$D$4:$D$1005=M$2)*(Feats!$B$4:$B$1005),(Feats!$C$4:$C$1005=$A15)*(Feats!$D$4:$D$1005="Saves")*(Feats!$B$4:$B$1005)),MAX((Equipment!$A$7:$A$1013=1)*(Equipment!$B$7:$B$1013=$A15)*(Equipment!$C$7:$C$1013=M$2)*(Equipment!$G$7:$G$1013),(Equipment!$A$7:$A$1013=1)*(Equipment!$B$7:$B$1013=$A15)*(Equipment!$C$7:$C$1013="Saves")*(Equipment!$G$7:$G$1013)))</f>
        <v>0</v>
      </c>
      <c r="N15" s="8">
        <f t="array" ref="N15">MAX(MAX(('Active Spells'!$C$4:$C$1005=1)*('Active Spells'!$E$4:$E$1005=$A15)*('Active Spells'!$F$4:$F$1005=N$2)*('Active Spells'!$D$4:$D$1005),('Active Spells'!$C$4:$C$1005=1)*('Active Spells'!$E$4:$E$1005=$A15)*('Active Spells'!$F$4:$F$1005="Saves")*('Active Spells'!$D$4:$D$1005)),MAX((Feats!$C$4:$C$1005=$A15)*(Feats!$D$4:$D$1005=N$2)*(Feats!$B$4:$B$1005),(Feats!$C$4:$C$1005=$A15)*(Feats!$D$4:$D$1005="Saves")*(Feats!$B$4:$B$1005)),MAX((Equipment!$A$7:$A$1013=1)*(Equipment!$B$7:$B$1013=$A15)*(Equipment!$C$7:$C$1013=N$2)*(Equipment!$G$7:$G$1013),(Equipment!$A$7:$A$1013=1)*(Equipment!$B$7:$B$1013=$A15)*(Equipment!$C$7:$C$1013="Saves")*(Equipment!$G$7:$G$1013)))</f>
        <v>0</v>
      </c>
      <c r="O15" s="8">
        <f t="array" ref="O15">MAX(MAX(('Active Spells'!$C$4:$C$1005=1)*('Active Spells'!$E$4:$E$1005=$A15)*('Active Spells'!$F$4:$F$1005=O$2)*('Active Spells'!$D$4:$D$1005),('Active Spells'!$C$4:$C$1005=1)*('Active Spells'!$E$4:$E$1005=$A15)*('Active Spells'!$F$4:$F$1005="Saves")*('Active Spells'!$D$4:$D$1005)),MAX((Feats!$C$4:$C$1005=$A15)*(Feats!$D$4:$D$1005=O$2)*(Feats!$B$4:$B$1005),(Feats!$C$4:$C$1005=$A15)*(Feats!$D$4:$D$1005="Saves")*(Feats!$B$4:$B$1005)),MAX((Equipment!$A$7:$A$1013=1)*(Equipment!$B$7:$B$1013=$A15)*(Equipment!$C$7:$C$1013=O$2)*(Equipment!$G$7:$G$1013),(Equipment!$A$7:$A$1013=1)*(Equipment!$B$7:$B$1013=$A15)*(Equipment!$C$7:$C$1013="Saves")*(Equipment!$G$7:$G$1013)))</f>
        <v>0</v>
      </c>
      <c r="P15" s="8">
        <f t="array" ref="P15">MAX(MAX(('Active Spells'!$C$4:$C$1005=1)*('Active Spells'!$E$4:$E$1005=$A15)*('Active Spells'!$F$4:$F$1005=P$2)*('Active Spells'!$D$4:$D$1005)),MAX((Feats!$C$4:$C$1005=$A15)*(Feats!$D$4:$D$1005=P$2)*(Feats!$B$4:$B$1005)),MAX((Equipment!$A$7:$A$1013=1)*(Equipment!$B$7:$B$1013=$A15)*(Equipment!$C$7:$C$1013=P$2)*(Equipment!$G$7:$G$1013)))</f>
        <v>0</v>
      </c>
      <c r="Q15" s="8">
        <f t="array" ref="Q15">MAX(MAX(('Active Spells'!$C$4:$C$1005=1)*('Active Spells'!$E$4:$E$1005=$A15)*('Active Spells'!$F$4:$F$1005=Q$2)*('Active Spells'!$D$4:$D$1005)),MAX((Feats!$C$4:$C$1005=$A15)*(Feats!$D$4:$D$1005=Q$2)*(Feats!$B$4:$B$1005)),MAX((Equipment!$A$7:$A$1013=1)*(Equipment!$B$7:$B$1013=$A15)*(Equipment!$C$7:$C$1013=Q$2)*(Equipment!$G$7:$G$1013)))</f>
        <v>0</v>
      </c>
      <c r="R15" s="8">
        <f t="array" ref="R15">MAX(MAX(('Active Spells'!$C$4:$C$1005=1)*('Active Spells'!$E$4:$E$1005=$A15)*('Active Spells'!$F$4:$F$1005=R$2)*('Active Spells'!$D$4:$D$1005)),MAX((Feats!$C$4:$C$1005=$A15)*(Feats!$D$4:$D$1005=R$2)*(Feats!$B$4:$B$1005)),MAX((Equipment!$A$7:$A$1013=1)*(Equipment!$B$7:$B$1013=$A15)*(Equipment!$C$7:$C$1013=R$2)*(Equipment!$G$7:$G$1013)))</f>
        <v>0</v>
      </c>
      <c r="S15" s="8">
        <f t="array" ref="S15">MAX(MAX(('Active Spells'!$C$4:$C$1005=1)*('Active Spells'!$E$4:$E$1005=$A15)*('Active Spells'!$F$4:$F$1005=S$2)*('Active Spells'!$D$4:$D$1005)),MAX((Feats!$C$4:$C$1005=$A15)*(Feats!$D$4:$D$1005=S$2)*(Feats!$B$4:$B$1005)),MAX((Equipment!$A$7:$A$1013=1)*(Equipment!$B$7:$B$1013=$A15)*(Equipment!$C$7:$C$1013=S$2)*(Equipment!$G$7:$G$1013)))</f>
        <v>0</v>
      </c>
      <c r="T15" s="8">
        <f t="array" ref="T15">MAX(MAX(('Active Spells'!$C$4:$C$1005=1)*('Active Spells'!$E$4:$E$1005=$A15)*('Active Spells'!$F$4:$F$1005=T$2)*('Active Spells'!$D$4:$D$1005)),MAX((Feats!$C$4:$C$1005=$A15)*(Feats!$D$4:$D$1005=T$2)*(Feats!$B$4:$B$1005)),MAX((Equipment!$A$7:$A$1013=1)*(Equipment!$B$7:$B$1013=$A15)*(Equipment!$C$7:$C$1013=T$2)*(Equipment!$G$7:$G$1013)))</f>
        <v>0</v>
      </c>
      <c r="U15" s="8">
        <f t="array" ref="U15">MAX(MAX(('Active Spells'!$C$4:$C$1005=1)*('Active Spells'!$E$4:$E$1005=$A15)*('Active Spells'!$F$4:$F$1005=U$2)*('Active Spells'!$D$4:$D$1005)),MAX((Feats!$C$4:$C$1005=$A15)*(Feats!$D$4:$D$1005=U$2)*(Feats!$B$4:$B$1005)),MAX((Equipment!$A$7:$A$1013=1)*(Equipment!$B$7:$B$1013=$A15)*(Equipment!$C$7:$C$1013=U$2)*(Equipment!$G$7:$G$1013)))</f>
        <v>0</v>
      </c>
      <c r="V15" s="8">
        <f t="array" ref="V15">MAX(MAX(('Active Spells'!$C$4:$C$1005=1)*('Active Spells'!$E$4:$E$1005=$A15)*('Active Spells'!$F$4:$F$1005=V$2)*('Active Spells'!$D$4:$D$1005)),MAX((Feats!$C$4:$C$1005=$A15)*(Feats!$D$4:$D$1005=V$2)*(Feats!$B$4:$B$1005)),MAX((Equipment!$A$7:$A$1013=1)*(Equipment!$B$7:$B$1013=$A15)*(Equipment!$C$7:$C$1013=V$2)*(Equipment!$G$7:$G$1013)))</f>
        <v>0</v>
      </c>
      <c r="W15" s="8">
        <f t="array" ref="W15">MAX(MAX(('Active Spells'!$C$4:$C$1005=1)*('Active Spells'!$E$4:$E$1005=$A15)*('Active Spells'!$F$4:$F$1005=W$2)*('Active Spells'!$D$4:$D$1005)),MAX((Feats!$C$4:$C$1005=$A15)*(Feats!$D$4:$D$1005=W$2)*(Feats!$B$4:$B$1005)),MAX((Equipment!$A$7:$A$1013=1)*(Equipment!$B$7:$B$1013=$A15)*(Equipment!$C$7:$C$1013=W$2)*(Equipment!$G$7:$G$1013)))</f>
        <v>0</v>
      </c>
      <c r="X15" s="8">
        <f t="array" ref="X15">MAX(MAX(('Active Spells'!$C$4:$C$1005=1)*('Active Spells'!$E$4:$E$1005=$A15)*('Active Spells'!$F$4:$F$1005=X$2)*('Active Spells'!$D$4:$D$1005)),MAX((Feats!$C$4:$C$1005=$A15)*(Feats!$D$4:$D$1005=X$2)*(Feats!$B$4:$B$1005)),MAX((Equipment!$A$7:$A$1013=1)*(Equipment!$B$7:$B$1013=$A15)*(Equipment!$C$7:$C$1013=X$2)*(Equipment!$G$7:$G$1013)))</f>
        <v>0</v>
      </c>
      <c r="Y15" s="8">
        <f t="array" ref="Y15">MAX(MAX(('Active Spells'!$C$4:$C$1005=1)*('Active Spells'!$E$4:$E$1005=$A15)*('Active Spells'!$F$4:$F$1005=Y$2)*('Active Spells'!$D$4:$D$1005)),MAX((Feats!$C$4:$C$1005=$A15)*(Feats!$D$4:$D$1005=Y$2)*(Feats!$B$4:$B$1005)),MAX((Equipment!$A$7:$A$1013=1)*(Equipment!$B$7:$B$1013=$A15)*(Equipment!$C$7:$C$1013=Y$2)*(Equipment!$G$7:$G$1013)))</f>
        <v>0</v>
      </c>
      <c r="Z15" s="8">
        <f t="array" ref="Z15">MAX(MAX(('Active Spells'!$C$4:$C$1005=1)*('Active Spells'!$E$4:$E$1005=$A15)*('Active Spells'!$F$4:$F$1005=Z$2)*('Active Spells'!$D$4:$D$1005)),MAX((Feats!$C$4:$C$1005=$A15)*(Feats!$D$4:$D$1005=Z$2)*(Feats!$B$4:$B$1005)),MAX((Equipment!$A$7:$A$1013=1)*(Equipment!$B$7:$B$1013=$A15)*(Equipment!$C$7:$C$1013=Z$2)*(Equipment!$G$7:$G$1013)))</f>
        <v>0</v>
      </c>
      <c r="AA15" s="8">
        <f t="array" ref="AA15">MAX(MAX(('Active Spells'!$C$4:$C$1005=1)*('Active Spells'!$E$4:$E$1005=$A15)*('Active Spells'!$F$4:$F$1005=AA$2)*('Active Spells'!$D$4:$D$1005)),MAX((Feats!$C$4:$C$1005=$A15)*(Feats!$D$4:$D$1005=AA$2)*(Feats!$B$4:$B$1005)),MAX((Equipment!$A$7:$A$1013=1)*(Equipment!$B$7:$B$1013=$A15)*(Equipment!$C$7:$C$1013=AA$2)*(Equipment!$G$7:$G$1013)))</f>
        <v>0</v>
      </c>
    </row>
    <row r="16" spans="1:27" x14ac:dyDescent="0.2">
      <c r="A16" s="6" t="s">
        <v>259</v>
      </c>
      <c r="B16" s="8">
        <f t="array" ref="B16">MAX(MAX(('Active Spells'!$C$4:$C$1005=1)*('Active Spells'!$E$4:$E$1005=$A16)*('Active Spells'!$F$4:$F$1005=B$2)*('Active Spells'!$D$4:$D$1005)),MAX((Feats!$C$4:$C$1005=$A16)*(Feats!$D$4:$D$1005=B$2)*(Feats!$B$4:$B$1005)),MAX((Equipment!$A$7:$A$1013=1)*(Equipment!$B$7:$B$1013=$A16)*(Equipment!$C$7:$C$1013=B$2)*(Equipment!$G$7:$G$1013)))</f>
        <v>5</v>
      </c>
      <c r="C16" s="8">
        <f t="array" ref="C16">MAX(MAX(('Active Spells'!$C$4:$C$1005=1)*('Active Spells'!$E$4:$E$1005=$A16)*('Active Spells'!$F$4:$F$1005=C$2)*('Active Spells'!$D$4:$D$1005)),MAX((Feats!$C$4:$C$1005=$A16)*(Feats!$D$4:$D$1005=C$2)*(Feats!$B$4:$B$1005)),MAX((Equipment!$A$7:$A$1013=1)*(Equipment!$B$7:$B$1013=$A16)*(Equipment!$C$7:$C$1013=C$2)*(Equipment!$G$7:$G$1013)))</f>
        <v>1</v>
      </c>
      <c r="D16" s="8">
        <f t="array" ref="D16">MAX(MAX(('Active Spells'!$C$4:$C$1005=1)*('Active Spells'!$E$4:$E$1005=$A16)*('Active Spells'!$F$4:$F$1005=D$2)*('Active Spells'!$D$4:$D$1005)),MAX((Feats!$C$4:$C$1005=$A16)*(Feats!$D$4:$D$1005=D$2)*(Feats!$B$4:$B$1005)),MAX((Equipment!$A$7:$A$1013=1)*(Equipment!$B$7:$B$1013=$A16)*(Equipment!$C$7:$C$1013=D$2)*(Equipment!$G$7:$G$1013)))</f>
        <v>5</v>
      </c>
      <c r="E16" s="8">
        <f t="array" ref="E16">MAX(MAX(('Active Spells'!$C$4:$C$1005=1)*('Active Spells'!$E$4:$E$1005=$A16)*('Active Spells'!$F$4:$F$1005=E$2)*('Active Spells'!$D$4:$D$1005)),MAX((Feats!$C$4:$C$1005=$A16)*(Feats!$D$4:$D$1005=E$2)*(Feats!$B$4:$B$1005)),MAX((Equipment!$A$7:$A$1013=1)*(Equipment!$B$7:$B$1013=$A16)*(Equipment!$C$7:$C$1013=E$2)*(Equipment!$G$7:$G$1013)))</f>
        <v>0</v>
      </c>
      <c r="F16" s="8">
        <f t="array" ref="F16">MAX(MAX(('Active Spells'!$C$4:$C$1005=1)*('Active Spells'!$E$4:$E$1005=$A16)*('Active Spells'!$F$4:$F$1005=F$2)*('Active Spells'!$D$4:$D$1005)),MAX((Feats!$C$4:$C$1005=$A16)*(Feats!$D$4:$D$1005=F$2)*(Feats!$B$4:$B$1005)),MAX((Equipment!$A$7:$A$1013=1)*(Equipment!$B$7:$B$1013=$A16)*(Equipment!$C$7:$C$1013=F$2)*(Equipment!$G$7:$G$1013)))</f>
        <v>6</v>
      </c>
      <c r="G16" s="8">
        <f t="array" ref="G16">MAX(MAX(('Active Spells'!$C$4:$C$1005=1)*('Active Spells'!$E$4:$E$1005=$A16)*('Active Spells'!$F$4:$F$1005=G$2)*('Active Spells'!$D$4:$D$1005)),MAX((Feats!$C$4:$C$1005=$A16)*(Feats!$D$4:$D$1005=G$2)*(Feats!$B$4:$B$1005)),MAX((Equipment!$A$7:$A$1013=1)*(Equipment!$B$7:$B$1013=$A16)*(Equipment!$C$7:$C$1013=G$2)*(Equipment!$G$7:$G$1013)))</f>
        <v>4</v>
      </c>
      <c r="H16" s="8">
        <f t="array" ref="H16">MAX(MAX(('Active Spells'!$C$4:$C$1005=1)*('Active Spells'!$E$4:$E$1005=$A16)*('Active Spells'!$F$4:$F$1005=H$2)*('Active Spells'!$D$4:$D$1005)),MAX((Feats!$C$4:$C$1005=$A16)*(Feats!$D$4:$D$1005=H$2)*(Feats!$B$4:$B$1005)),MAX((Equipment!$A$7:$A$1013=1)*(Equipment!$B$7:$B$1013=$A16)*(Equipment!$C$7:$C$1013=H$2)*(Equipment!$G$7:$G$1013)))</f>
        <v>0</v>
      </c>
      <c r="I16" s="8">
        <f t="array" ref="I16">MAX(MAX(('Active Spells'!$C$4:$C$1005=1)*('Active Spells'!$E$4:$E$1005=$A16)*('Active Spells'!$F$4:$F$1005=I$2)*('Active Spells'!$D$4:$D$1005)),MAX((Feats!$C$4:$C$1005=$A16)*(Feats!$D$4:$D$1005=I$2)*(Feats!$B$4:$B$1005)),MAX((Equipment!$A$7:$A$1013=1)*(Equipment!$B$7:$B$1013=$A16)*(Equipment!$C$7:$C$1013=I$2)*(Equipment!$G$7:$G$1013)))</f>
        <v>5</v>
      </c>
      <c r="J16" s="8">
        <f t="array" ref="J16">MAX(MAX(('Active Spells'!$C$4:$C$1005=1)*('Active Spells'!$E$4:$E$1005=$A16)*('Active Spells'!$F$4:$F$1005=J$2)*('Active Spells'!$D$4:$D$1005)),MAX((Feats!$C$4:$C$1005=$A16)*(Feats!$D$4:$D$1005=J$2)*(Feats!$B$4:$B$1005)),MAX((Equipment!$A$7:$A$1013=1)*(Equipment!$B$7:$B$1013=$A16)*(Equipment!$C$7:$C$1013=J$2)*(Equipment!$G$7:$G$1013)))</f>
        <v>5</v>
      </c>
      <c r="K16" s="8">
        <f t="array" ref="K16">MAX(MAX(('Active Spells'!$C$4:$C$1005=1)*('Active Spells'!$E$4:$E$1005=$A16)*('Active Spells'!$F$4:$F$1005=K$2)*('Active Spells'!$D$4:$D$1005)),MAX((Feats!$C$4:$C$1005=$A16)*(Feats!$D$4:$D$1005=K$2)*(Feats!$B$4:$B$1005)),MAX((Equipment!$A$7:$A$1013=1)*(Equipment!$B$7:$B$1013=$A16)*(Equipment!$C$7:$C$1013=K$2)*(Equipment!$G$7:$G$1013)))</f>
        <v>0</v>
      </c>
      <c r="L16" s="8">
        <f t="array" ref="L16">MAX(MAX(('Active Spells'!$C$4:$C$1005=1)*('Active Spells'!$E$4:$E$1005=$A16)*('Active Spells'!$F$4:$F$1005=L$2)*('Active Spells'!$D$4:$D$1005)),MAX((Feats!$C$4:$C$1005=$A16)*(Feats!$D$4:$D$1005=L$2)*(Feats!$B$4:$B$1005)),MAX((Equipment!$A$7:$A$1013=1)*(Equipment!$B$7:$B$1013=$A16)*(Equipment!$C$7:$C$1013=L$2)*(Equipment!$G$7:$G$1013)))</f>
        <v>30</v>
      </c>
      <c r="M16" s="8">
        <f t="array" ref="M16">MAX(MAX(('Active Spells'!$C$4:$C$1005=1)*('Active Spells'!$E$4:$E$1005=$A16)*('Active Spells'!$F$4:$F$1005=M$2)*('Active Spells'!$D$4:$D$1005),('Active Spells'!$C$4:$C$1005=1)*('Active Spells'!$E$4:$E$1005=$A16)*('Active Spells'!$F$4:$F$1005="Saves")*('Active Spells'!$D$4:$D$1005)),MAX((Feats!$C$4:$C$1005=$A16)*(Feats!$D$4:$D$1005=M$2)*(Feats!$B$4:$B$1005),(Feats!$C$4:$C$1005=$A16)*(Feats!$D$4:$D$1005="Saves")*(Feats!$B$4:$B$1005)),MAX((Equipment!$A$7:$A$1013=1)*(Equipment!$B$7:$B$1013=$A16)*(Equipment!$C$7:$C$1013=M$2)*(Equipment!$G$7:$G$1013),(Equipment!$A$7:$A$1013=1)*(Equipment!$B$7:$B$1013=$A16)*(Equipment!$C$7:$C$1013="Saves")*(Equipment!$G$7:$G$1013)))</f>
        <v>0</v>
      </c>
      <c r="N16" s="8">
        <f t="array" ref="N16">MAX(MAX(('Active Spells'!$C$4:$C$1005=1)*('Active Spells'!$E$4:$E$1005=$A16)*('Active Spells'!$F$4:$F$1005=N$2)*('Active Spells'!$D$4:$D$1005),('Active Spells'!$C$4:$C$1005=1)*('Active Spells'!$E$4:$E$1005=$A16)*('Active Spells'!$F$4:$F$1005="Saves")*('Active Spells'!$D$4:$D$1005)),MAX((Feats!$C$4:$C$1005=$A16)*(Feats!$D$4:$D$1005=N$2)*(Feats!$B$4:$B$1005),(Feats!$C$4:$C$1005=$A16)*(Feats!$D$4:$D$1005="Saves")*(Feats!$B$4:$B$1005)),MAX((Equipment!$A$7:$A$1013=1)*(Equipment!$B$7:$B$1013=$A16)*(Equipment!$C$7:$C$1013=N$2)*(Equipment!$G$7:$G$1013),(Equipment!$A$7:$A$1013=1)*(Equipment!$B$7:$B$1013=$A16)*(Equipment!$C$7:$C$1013="Saves")*(Equipment!$G$7:$G$1013)))</f>
        <v>0</v>
      </c>
      <c r="O16" s="8">
        <f t="array" ref="O16">MAX(MAX(('Active Spells'!$C$4:$C$1005=1)*('Active Spells'!$E$4:$E$1005=$A16)*('Active Spells'!$F$4:$F$1005=O$2)*('Active Spells'!$D$4:$D$1005),('Active Spells'!$C$4:$C$1005=1)*('Active Spells'!$E$4:$E$1005=$A16)*('Active Spells'!$F$4:$F$1005="Saves")*('Active Spells'!$D$4:$D$1005)),MAX((Feats!$C$4:$C$1005=$A16)*(Feats!$D$4:$D$1005=O$2)*(Feats!$B$4:$B$1005),(Feats!$C$4:$C$1005=$A16)*(Feats!$D$4:$D$1005="Saves")*(Feats!$B$4:$B$1005)),MAX((Equipment!$A$7:$A$1013=1)*(Equipment!$B$7:$B$1013=$A16)*(Equipment!$C$7:$C$1013=O$2)*(Equipment!$G$7:$G$1013),(Equipment!$A$7:$A$1013=1)*(Equipment!$B$7:$B$1013=$A16)*(Equipment!$C$7:$C$1013="Saves")*(Equipment!$G$7:$G$1013)))</f>
        <v>0</v>
      </c>
      <c r="P16" s="8">
        <f t="array" ref="P16">MAX(MAX(('Active Spells'!$C$4:$C$1005=1)*('Active Spells'!$E$4:$E$1005=$A16)*('Active Spells'!$F$4:$F$1005=P$2)*('Active Spells'!$D$4:$D$1005)),MAX((Feats!$C$4:$C$1005=$A16)*(Feats!$D$4:$D$1005=P$2)*(Feats!$B$4:$B$1005)),MAX((Equipment!$A$7:$A$1013=1)*(Equipment!$B$7:$B$1013=$A16)*(Equipment!$C$7:$C$1013=P$2)*(Equipment!$G$7:$G$1013)))</f>
        <v>0</v>
      </c>
      <c r="Q16" s="8">
        <f t="array" ref="Q16">MAX(MAX(('Active Spells'!$C$4:$C$1005=1)*('Active Spells'!$E$4:$E$1005=$A16)*('Active Spells'!$F$4:$F$1005=Q$2)*('Active Spells'!$D$4:$D$1005)),MAX((Feats!$C$4:$C$1005=$A16)*(Feats!$D$4:$D$1005=Q$2)*(Feats!$B$4:$B$1005)),MAX((Equipment!$A$7:$A$1013=1)*(Equipment!$B$7:$B$1013=$A16)*(Equipment!$C$7:$C$1013=Q$2)*(Equipment!$G$7:$G$1013)))</f>
        <v>0</v>
      </c>
      <c r="R16" s="8">
        <f t="array" ref="R16">MAX(MAX(('Active Spells'!$C$4:$C$1005=1)*('Active Spells'!$E$4:$E$1005=$A16)*('Active Spells'!$F$4:$F$1005=R$2)*('Active Spells'!$D$4:$D$1005)),MAX((Feats!$C$4:$C$1005=$A16)*(Feats!$D$4:$D$1005=R$2)*(Feats!$B$4:$B$1005)),MAX((Equipment!$A$7:$A$1013=1)*(Equipment!$B$7:$B$1013=$A16)*(Equipment!$C$7:$C$1013=R$2)*(Equipment!$G$7:$G$1013)))</f>
        <v>0</v>
      </c>
      <c r="S16" s="8">
        <f t="array" ref="S16">MAX(MAX(('Active Spells'!$C$4:$C$1005=1)*('Active Spells'!$E$4:$E$1005=$A16)*('Active Spells'!$F$4:$F$1005=S$2)*('Active Spells'!$D$4:$D$1005)),MAX((Feats!$C$4:$C$1005=$A16)*(Feats!$D$4:$D$1005=S$2)*(Feats!$B$4:$B$1005)),MAX((Equipment!$A$7:$A$1013=1)*(Equipment!$B$7:$B$1013=$A16)*(Equipment!$C$7:$C$1013=S$2)*(Equipment!$G$7:$G$1013)))</f>
        <v>0</v>
      </c>
      <c r="T16" s="8">
        <f t="array" ref="T16">MAX(MAX(('Active Spells'!$C$4:$C$1005=1)*('Active Spells'!$E$4:$E$1005=$A16)*('Active Spells'!$F$4:$F$1005=T$2)*('Active Spells'!$D$4:$D$1005)),MAX((Feats!$C$4:$C$1005=$A16)*(Feats!$D$4:$D$1005=T$2)*(Feats!$B$4:$B$1005)),MAX((Equipment!$A$7:$A$1013=1)*(Equipment!$B$7:$B$1013=$A16)*(Equipment!$C$7:$C$1013=T$2)*(Equipment!$G$7:$G$1013)))</f>
        <v>0</v>
      </c>
      <c r="U16" s="8">
        <f t="array" ref="U16">MAX(MAX(('Active Spells'!$C$4:$C$1005=1)*('Active Spells'!$E$4:$E$1005=$A16)*('Active Spells'!$F$4:$F$1005=U$2)*('Active Spells'!$D$4:$D$1005)),MAX((Feats!$C$4:$C$1005=$A16)*(Feats!$D$4:$D$1005=U$2)*(Feats!$B$4:$B$1005)),MAX((Equipment!$A$7:$A$1013=1)*(Equipment!$B$7:$B$1013=$A16)*(Equipment!$C$7:$C$1013=U$2)*(Equipment!$G$7:$G$1013)))</f>
        <v>0</v>
      </c>
      <c r="V16" s="8">
        <f t="array" ref="V16">MAX(MAX(('Active Spells'!$C$4:$C$1005=1)*('Active Spells'!$E$4:$E$1005=$A16)*('Active Spells'!$F$4:$F$1005=V$2)*('Active Spells'!$D$4:$D$1005)),MAX((Feats!$C$4:$C$1005=$A16)*(Feats!$D$4:$D$1005=V$2)*(Feats!$B$4:$B$1005)),MAX((Equipment!$A$7:$A$1013=1)*(Equipment!$B$7:$B$1013=$A16)*(Equipment!$C$7:$C$1013=V$2)*(Equipment!$G$7:$G$1013)))</f>
        <v>4</v>
      </c>
      <c r="W16" s="8">
        <f t="array" ref="W16">MAX(MAX(('Active Spells'!$C$4:$C$1005=1)*('Active Spells'!$E$4:$E$1005=$A16)*('Active Spells'!$F$4:$F$1005=W$2)*('Active Spells'!$D$4:$D$1005)),MAX((Feats!$C$4:$C$1005=$A16)*(Feats!$D$4:$D$1005=W$2)*(Feats!$B$4:$B$1005)),MAX((Equipment!$A$7:$A$1013=1)*(Equipment!$B$7:$B$1013=$A16)*(Equipment!$C$7:$C$1013=W$2)*(Equipment!$G$7:$G$1013)))</f>
        <v>4</v>
      </c>
      <c r="X16" s="8">
        <f t="array" ref="X16">MAX(MAX(('Active Spells'!$C$4:$C$1005=1)*('Active Spells'!$E$4:$E$1005=$A16)*('Active Spells'!$F$4:$F$1005=X$2)*('Active Spells'!$D$4:$D$1005)),MAX((Feats!$C$4:$C$1005=$A16)*(Feats!$D$4:$D$1005=X$2)*(Feats!$B$4:$B$1005)),MAX((Equipment!$A$7:$A$1013=1)*(Equipment!$B$7:$B$1013=$A16)*(Equipment!$C$7:$C$1013=X$2)*(Equipment!$G$7:$G$1013)))</f>
        <v>4</v>
      </c>
      <c r="Y16" s="8">
        <f t="array" ref="Y16">MAX(MAX(('Active Spells'!$C$4:$C$1005=1)*('Active Spells'!$E$4:$E$1005=$A16)*('Active Spells'!$F$4:$F$1005=Y$2)*('Active Spells'!$D$4:$D$1005)),MAX((Feats!$C$4:$C$1005=$A16)*(Feats!$D$4:$D$1005=Y$2)*(Feats!$B$4:$B$1005)),MAX((Equipment!$A$7:$A$1013=1)*(Equipment!$B$7:$B$1013=$A16)*(Equipment!$C$7:$C$1013=Y$2)*(Equipment!$G$7:$G$1013)))</f>
        <v>0</v>
      </c>
      <c r="Z16" s="8">
        <f t="array" ref="Z16">MAX(MAX(('Active Spells'!$C$4:$C$1005=1)*('Active Spells'!$E$4:$E$1005=$A16)*('Active Spells'!$F$4:$F$1005=Z$2)*('Active Spells'!$D$4:$D$1005)),MAX((Feats!$C$4:$C$1005=$A16)*(Feats!$D$4:$D$1005=Z$2)*(Feats!$B$4:$B$1005)),MAX((Equipment!$A$7:$A$1013=1)*(Equipment!$B$7:$B$1013=$A16)*(Equipment!$C$7:$C$1013=Z$2)*(Equipment!$G$7:$G$1013)))</f>
        <v>0</v>
      </c>
      <c r="AA16" s="8">
        <f t="array" ref="AA16">MAX(MAX(('Active Spells'!$C$4:$C$1005=1)*('Active Spells'!$E$4:$E$1005=$A16)*('Active Spells'!$F$4:$F$1005=AA$2)*('Active Spells'!$D$4:$D$1005)),MAX((Feats!$C$4:$C$1005=$A16)*(Feats!$D$4:$D$1005=AA$2)*(Feats!$B$4:$B$1005)),MAX((Equipment!$A$7:$A$1013=1)*(Equipment!$B$7:$B$1013=$A16)*(Equipment!$C$7:$C$1013=AA$2)*(Equipment!$G$7:$G$1013)))</f>
        <v>0</v>
      </c>
    </row>
    <row r="17" spans="1:27" x14ac:dyDescent="0.2">
      <c r="A17" s="6" t="s">
        <v>269</v>
      </c>
      <c r="B17" s="8">
        <f t="array" ref="B17">MAX(MAX(('Active Spells'!$C$4:$C$1005=1)*('Active Spells'!$E$4:$E$1005=$A17)*('Active Spells'!$F$4:$F$1005=B$2)*('Active Spells'!$D$4:$D$1005)),MAX((Feats!$C$4:$C$1005=$A17)*(Feats!$D$4:$D$1005=B$2)*(Feats!$B$4:$B$1005)),MAX((Equipment!$A$7:$A$1013=1)*(Equipment!$B$7:$B$1013=$A17)*(Equipment!$C$7:$C$1013=B$2)*(Equipment!$G$7:$G$1013)))</f>
        <v>0</v>
      </c>
      <c r="C17" s="8">
        <f t="array" ref="C17">MAX(MAX(('Active Spells'!$C$4:$C$1005=1)*('Active Spells'!$E$4:$E$1005=$A17)*('Active Spells'!$F$4:$F$1005=C$2)*('Active Spells'!$D$4:$D$1005)),MAX((Feats!$C$4:$C$1005=$A17)*(Feats!$D$4:$D$1005=C$2)*(Feats!$B$4:$B$1005)),MAX((Equipment!$A$7:$A$1013=1)*(Equipment!$B$7:$B$1013=$A17)*(Equipment!$C$7:$C$1013=C$2)*(Equipment!$G$7:$G$1013)))</f>
        <v>0</v>
      </c>
      <c r="D17" s="8">
        <f t="array" ref="D17">MAX(MAX(('Active Spells'!$C$4:$C$1005=1)*('Active Spells'!$E$4:$E$1005=$A17)*('Active Spells'!$F$4:$F$1005=D$2)*('Active Spells'!$D$4:$D$1005)),MAX((Feats!$C$4:$C$1005=$A17)*(Feats!$D$4:$D$1005=D$2)*(Feats!$B$4:$B$1005)),MAX((Equipment!$A$7:$A$1013=1)*(Equipment!$B$7:$B$1013=$A17)*(Equipment!$C$7:$C$1013=D$2)*(Equipment!$G$7:$G$1013)))</f>
        <v>0</v>
      </c>
      <c r="E17" s="8">
        <f t="array" ref="E17">MAX(MAX(('Active Spells'!$C$4:$C$1005=1)*('Active Spells'!$E$4:$E$1005=$A17)*('Active Spells'!$F$4:$F$1005=E$2)*('Active Spells'!$D$4:$D$1005)),MAX((Feats!$C$4:$C$1005=$A17)*(Feats!$D$4:$D$1005=E$2)*(Feats!$B$4:$B$1005)),MAX((Equipment!$A$7:$A$1013=1)*(Equipment!$B$7:$B$1013=$A17)*(Equipment!$C$7:$C$1013=E$2)*(Equipment!$G$7:$G$1013)))</f>
        <v>0</v>
      </c>
      <c r="F17" s="8">
        <f t="array" ref="F17">MAX(MAX(('Active Spells'!$C$4:$C$1005=1)*('Active Spells'!$E$4:$E$1005=$A17)*('Active Spells'!$F$4:$F$1005=F$2)*('Active Spells'!$D$4:$D$1005)),MAX((Feats!$C$4:$C$1005=$A17)*(Feats!$D$4:$D$1005=F$2)*(Feats!$B$4:$B$1005)),MAX((Equipment!$A$7:$A$1013=1)*(Equipment!$B$7:$B$1013=$A17)*(Equipment!$C$7:$C$1013=F$2)*(Equipment!$G$7:$G$1013)))</f>
        <v>0</v>
      </c>
      <c r="G17" s="8">
        <f t="array" ref="G17">MAX(MAX(('Active Spells'!$C$4:$C$1005=1)*('Active Spells'!$E$4:$E$1005=$A17)*('Active Spells'!$F$4:$F$1005=G$2)*('Active Spells'!$D$4:$D$1005)),MAX((Feats!$C$4:$C$1005=$A17)*(Feats!$D$4:$D$1005=G$2)*(Feats!$B$4:$B$1005)),MAX((Equipment!$A$7:$A$1013=1)*(Equipment!$B$7:$B$1013=$A17)*(Equipment!$C$7:$C$1013=G$2)*(Equipment!$G$7:$G$1013)))</f>
        <v>0</v>
      </c>
      <c r="H17" s="8">
        <f t="array" ref="H17">MAX(MAX(('Active Spells'!$C$4:$C$1005=1)*('Active Spells'!$E$4:$E$1005=$A17)*('Active Spells'!$F$4:$F$1005=H$2)*('Active Spells'!$D$4:$D$1005)),MAX((Feats!$C$4:$C$1005=$A17)*(Feats!$D$4:$D$1005=H$2)*(Feats!$B$4:$B$1005)),MAX((Equipment!$A$7:$A$1013=1)*(Equipment!$B$7:$B$1013=$A17)*(Equipment!$C$7:$C$1013=H$2)*(Equipment!$G$7:$G$1013)))</f>
        <v>0</v>
      </c>
      <c r="I17" s="8">
        <f t="array" ref="I17">MAX(MAX(('Active Spells'!$C$4:$C$1005=1)*('Active Spells'!$E$4:$E$1005=$A17)*('Active Spells'!$F$4:$F$1005=I$2)*('Active Spells'!$D$4:$D$1005)),MAX((Feats!$C$4:$C$1005=$A17)*(Feats!$D$4:$D$1005=I$2)*(Feats!$B$4:$B$1005)),MAX((Equipment!$A$7:$A$1013=1)*(Equipment!$B$7:$B$1013=$A17)*(Equipment!$C$7:$C$1013=I$2)*(Equipment!$G$7:$G$1013)))</f>
        <v>0</v>
      </c>
      <c r="J17" s="8">
        <f t="array" ref="J17">MAX(MAX(('Active Spells'!$C$4:$C$1005=1)*('Active Spells'!$E$4:$E$1005=$A17)*('Active Spells'!$F$4:$F$1005=J$2)*('Active Spells'!$D$4:$D$1005)),MAX((Feats!$C$4:$C$1005=$A17)*(Feats!$D$4:$D$1005=J$2)*(Feats!$B$4:$B$1005)),MAX((Equipment!$A$7:$A$1013=1)*(Equipment!$B$7:$B$1013=$A17)*(Equipment!$C$7:$C$1013=J$2)*(Equipment!$G$7:$G$1013)))</f>
        <v>0</v>
      </c>
      <c r="K17" s="8">
        <f t="array" ref="K17">MAX(MAX(('Active Spells'!$C$4:$C$1005=1)*('Active Spells'!$E$4:$E$1005=$A17)*('Active Spells'!$F$4:$F$1005=K$2)*('Active Spells'!$D$4:$D$1005)),MAX((Feats!$C$4:$C$1005=$A17)*(Feats!$D$4:$D$1005=K$2)*(Feats!$B$4:$B$1005)),MAX((Equipment!$A$7:$A$1013=1)*(Equipment!$B$7:$B$1013=$A17)*(Equipment!$C$7:$C$1013=K$2)*(Equipment!$G$7:$G$1013)))</f>
        <v>0</v>
      </c>
      <c r="L17" s="8">
        <f t="array" ref="L17">MAX(MAX(('Active Spells'!$C$4:$C$1005=1)*('Active Spells'!$E$4:$E$1005=$A17)*('Active Spells'!$F$4:$F$1005=L$2)*('Active Spells'!$D$4:$D$1005)),MAX((Feats!$C$4:$C$1005=$A17)*(Feats!$D$4:$D$1005=L$2)*(Feats!$B$4:$B$1005)),MAX((Equipment!$A$7:$A$1013=1)*(Equipment!$B$7:$B$1013=$A17)*(Equipment!$C$7:$C$1013=L$2)*(Equipment!$G$7:$G$1013)))</f>
        <v>0</v>
      </c>
      <c r="M17" s="8">
        <f t="array" ref="M17">MAX(MAX(('Active Spells'!$C$4:$C$1005=1)*('Active Spells'!$E$4:$E$1005=$A17)*('Active Spells'!$F$4:$F$1005=M$2)*('Active Spells'!$D$4:$D$1005),('Active Spells'!$C$4:$C$1005=1)*('Active Spells'!$E$4:$E$1005=$A17)*('Active Spells'!$F$4:$F$1005="Saves")*('Active Spells'!$D$4:$D$1005)),MAX((Feats!$C$4:$C$1005=$A17)*(Feats!$D$4:$D$1005=M$2)*(Feats!$B$4:$B$1005),(Feats!$C$4:$C$1005=$A17)*(Feats!$D$4:$D$1005="Saves")*(Feats!$B$4:$B$1005)),MAX((Equipment!$A$7:$A$1013=1)*(Equipment!$B$7:$B$1013=$A17)*(Equipment!$C$7:$C$1013=M$2)*(Equipment!$G$7:$G$1013),(Equipment!$A$7:$A$1013=1)*(Equipment!$B$7:$B$1013=$A17)*(Equipment!$C$7:$C$1013="Saves")*(Equipment!$G$7:$G$1013)))</f>
        <v>0</v>
      </c>
      <c r="N17" s="8">
        <f t="array" ref="N17">MAX(MAX(('Active Spells'!$C$4:$C$1005=1)*('Active Spells'!$E$4:$E$1005=$A17)*('Active Spells'!$F$4:$F$1005=N$2)*('Active Spells'!$D$4:$D$1005),('Active Spells'!$C$4:$C$1005=1)*('Active Spells'!$E$4:$E$1005=$A17)*('Active Spells'!$F$4:$F$1005="Saves")*('Active Spells'!$D$4:$D$1005)),MAX((Feats!$C$4:$C$1005=$A17)*(Feats!$D$4:$D$1005=N$2)*(Feats!$B$4:$B$1005),(Feats!$C$4:$C$1005=$A17)*(Feats!$D$4:$D$1005="Saves")*(Feats!$B$4:$B$1005)),MAX((Equipment!$A$7:$A$1013=1)*(Equipment!$B$7:$B$1013=$A17)*(Equipment!$C$7:$C$1013=N$2)*(Equipment!$G$7:$G$1013),(Equipment!$A$7:$A$1013=1)*(Equipment!$B$7:$B$1013=$A17)*(Equipment!$C$7:$C$1013="Saves")*(Equipment!$G$7:$G$1013)))</f>
        <v>0</v>
      </c>
      <c r="O17" s="8">
        <f t="array" ref="O17">MAX(MAX(('Active Spells'!$C$4:$C$1005=1)*('Active Spells'!$E$4:$E$1005=$A17)*('Active Spells'!$F$4:$F$1005=O$2)*('Active Spells'!$D$4:$D$1005),('Active Spells'!$C$4:$C$1005=1)*('Active Spells'!$E$4:$E$1005=$A17)*('Active Spells'!$F$4:$F$1005="Saves")*('Active Spells'!$D$4:$D$1005)),MAX((Feats!$C$4:$C$1005=$A17)*(Feats!$D$4:$D$1005=O$2)*(Feats!$B$4:$B$1005),(Feats!$C$4:$C$1005=$A17)*(Feats!$D$4:$D$1005="Saves")*(Feats!$B$4:$B$1005)),MAX((Equipment!$A$7:$A$1013=1)*(Equipment!$B$7:$B$1013=$A17)*(Equipment!$C$7:$C$1013=O$2)*(Equipment!$G$7:$G$1013),(Equipment!$A$7:$A$1013=1)*(Equipment!$B$7:$B$1013=$A17)*(Equipment!$C$7:$C$1013="Saves")*(Equipment!$G$7:$G$1013)))</f>
        <v>0</v>
      </c>
      <c r="P17" s="8">
        <f t="array" ref="P17">MAX(MAX(('Active Spells'!$C$4:$C$1005=1)*('Active Spells'!$E$4:$E$1005=$A17)*('Active Spells'!$F$4:$F$1005=P$2)*('Active Spells'!$D$4:$D$1005)),MAX((Feats!$C$4:$C$1005=$A17)*(Feats!$D$4:$D$1005=P$2)*(Feats!$B$4:$B$1005)),MAX((Equipment!$A$7:$A$1013=1)*(Equipment!$B$7:$B$1013=$A17)*(Equipment!$C$7:$C$1013=P$2)*(Equipment!$G$7:$G$1013)))</f>
        <v>0</v>
      </c>
      <c r="Q17" s="8">
        <f t="array" ref="Q17">MAX(MAX(('Active Spells'!$C$4:$C$1005=1)*('Active Spells'!$E$4:$E$1005=$A17)*('Active Spells'!$F$4:$F$1005=Q$2)*('Active Spells'!$D$4:$D$1005)),MAX((Feats!$C$4:$C$1005=$A17)*(Feats!$D$4:$D$1005=Q$2)*(Feats!$B$4:$B$1005)),MAX((Equipment!$A$7:$A$1013=1)*(Equipment!$B$7:$B$1013=$A17)*(Equipment!$C$7:$C$1013=Q$2)*(Equipment!$G$7:$G$1013)))</f>
        <v>0</v>
      </c>
      <c r="R17" s="8">
        <f t="array" ref="R17">MAX(MAX(('Active Spells'!$C$4:$C$1005=1)*('Active Spells'!$E$4:$E$1005=$A17)*('Active Spells'!$F$4:$F$1005=R$2)*('Active Spells'!$D$4:$D$1005)),MAX((Feats!$C$4:$C$1005=$A17)*(Feats!$D$4:$D$1005=R$2)*(Feats!$B$4:$B$1005)),MAX((Equipment!$A$7:$A$1013=1)*(Equipment!$B$7:$B$1013=$A17)*(Equipment!$C$7:$C$1013=R$2)*(Equipment!$G$7:$G$1013)))</f>
        <v>0</v>
      </c>
      <c r="S17" s="8">
        <f t="array" ref="S17">MAX(MAX(('Active Spells'!$C$4:$C$1005=1)*('Active Spells'!$E$4:$E$1005=$A17)*('Active Spells'!$F$4:$F$1005=S$2)*('Active Spells'!$D$4:$D$1005)),MAX((Feats!$C$4:$C$1005=$A17)*(Feats!$D$4:$D$1005=S$2)*(Feats!$B$4:$B$1005)),MAX((Equipment!$A$7:$A$1013=1)*(Equipment!$B$7:$B$1013=$A17)*(Equipment!$C$7:$C$1013=S$2)*(Equipment!$G$7:$G$1013)))</f>
        <v>0</v>
      </c>
      <c r="T17" s="8">
        <f t="array" ref="T17">MAX(MAX(('Active Spells'!$C$4:$C$1005=1)*('Active Spells'!$E$4:$E$1005=$A17)*('Active Spells'!$F$4:$F$1005=T$2)*('Active Spells'!$D$4:$D$1005)),MAX((Feats!$C$4:$C$1005=$A17)*(Feats!$D$4:$D$1005=T$2)*(Feats!$B$4:$B$1005)),MAX((Equipment!$A$7:$A$1013=1)*(Equipment!$B$7:$B$1013=$A17)*(Equipment!$C$7:$C$1013=T$2)*(Equipment!$G$7:$G$1013)))</f>
        <v>0</v>
      </c>
      <c r="U17" s="8">
        <f t="array" ref="U17">MAX(MAX(('Active Spells'!$C$4:$C$1005=1)*('Active Spells'!$E$4:$E$1005=$A17)*('Active Spells'!$F$4:$F$1005=U$2)*('Active Spells'!$D$4:$D$1005)),MAX((Feats!$C$4:$C$1005=$A17)*(Feats!$D$4:$D$1005=U$2)*(Feats!$B$4:$B$1005)),MAX((Equipment!$A$7:$A$1013=1)*(Equipment!$B$7:$B$1013=$A17)*(Equipment!$C$7:$C$1013=U$2)*(Equipment!$G$7:$G$1013)))</f>
        <v>0</v>
      </c>
      <c r="V17" s="8">
        <f t="array" ref="V17">MAX(MAX(('Active Spells'!$C$4:$C$1005=1)*('Active Spells'!$E$4:$E$1005=$A17)*('Active Spells'!$F$4:$F$1005=V$2)*('Active Spells'!$D$4:$D$1005)),MAX((Feats!$C$4:$C$1005=$A17)*(Feats!$D$4:$D$1005=V$2)*(Feats!$B$4:$B$1005)),MAX((Equipment!$A$7:$A$1013=1)*(Equipment!$B$7:$B$1013=$A17)*(Equipment!$C$7:$C$1013=V$2)*(Equipment!$G$7:$G$1013)))</f>
        <v>0</v>
      </c>
      <c r="W17" s="8">
        <f t="array" ref="W17">MAX(MAX(('Active Spells'!$C$4:$C$1005=1)*('Active Spells'!$E$4:$E$1005=$A17)*('Active Spells'!$F$4:$F$1005=W$2)*('Active Spells'!$D$4:$D$1005)),MAX((Feats!$C$4:$C$1005=$A17)*(Feats!$D$4:$D$1005=W$2)*(Feats!$B$4:$B$1005)),MAX((Equipment!$A$7:$A$1013=1)*(Equipment!$B$7:$B$1013=$A17)*(Equipment!$C$7:$C$1013=W$2)*(Equipment!$G$7:$G$1013)))</f>
        <v>0</v>
      </c>
      <c r="X17" s="8">
        <f t="array" ref="X17">MAX(MAX(('Active Spells'!$C$4:$C$1005=1)*('Active Spells'!$E$4:$E$1005=$A17)*('Active Spells'!$F$4:$F$1005=X$2)*('Active Spells'!$D$4:$D$1005)),MAX((Feats!$C$4:$C$1005=$A17)*(Feats!$D$4:$D$1005=X$2)*(Feats!$B$4:$B$1005)),MAX((Equipment!$A$7:$A$1013=1)*(Equipment!$B$7:$B$1013=$A17)*(Equipment!$C$7:$C$1013=X$2)*(Equipment!$G$7:$G$1013)))</f>
        <v>0</v>
      </c>
      <c r="Y17" s="8">
        <f t="array" ref="Y17">MAX(MAX(('Active Spells'!$C$4:$C$1005=1)*('Active Spells'!$E$4:$E$1005=$A17)*('Active Spells'!$F$4:$F$1005=Y$2)*('Active Spells'!$D$4:$D$1005)),MAX((Feats!$C$4:$C$1005=$A17)*(Feats!$D$4:$D$1005=Y$2)*(Feats!$B$4:$B$1005)),MAX((Equipment!$A$7:$A$1013=1)*(Equipment!$B$7:$B$1013=$A17)*(Equipment!$C$7:$C$1013=Y$2)*(Equipment!$G$7:$G$1013)))</f>
        <v>0</v>
      </c>
      <c r="Z17" s="8">
        <f t="array" ref="Z17">MAX(MAX(('Active Spells'!$C$4:$C$1005=1)*('Active Spells'!$E$4:$E$1005=$A17)*('Active Spells'!$F$4:$F$1005=Z$2)*('Active Spells'!$D$4:$D$1005)),MAX((Feats!$C$4:$C$1005=$A17)*(Feats!$D$4:$D$1005=Z$2)*(Feats!$B$4:$B$1005)),MAX((Equipment!$A$7:$A$1013=1)*(Equipment!$B$7:$B$1013=$A17)*(Equipment!$C$7:$C$1013=Z$2)*(Equipment!$G$7:$G$1013)))</f>
        <v>0</v>
      </c>
      <c r="AA17" s="8">
        <f t="array" ref="AA17">MAX(MAX(('Active Spells'!$C$4:$C$1005=1)*('Active Spells'!$E$4:$E$1005=$A17)*('Active Spells'!$F$4:$F$1005=AA$2)*('Active Spells'!$D$4:$D$1005)),MAX((Feats!$C$4:$C$1005=$A17)*(Feats!$D$4:$D$1005=AA$2)*(Feats!$B$4:$B$1005)),MAX((Equipment!$A$7:$A$1013=1)*(Equipment!$B$7:$B$1013=$A17)*(Equipment!$C$7:$C$1013=AA$2)*(Equipment!$G$7:$G$1013)))</f>
        <v>0</v>
      </c>
    </row>
    <row r="18" spans="1:27" x14ac:dyDescent="0.2">
      <c r="A18" s="6" t="s">
        <v>270</v>
      </c>
      <c r="B18" s="8">
        <f t="array" ref="B18">MAX(MAX(('Active Spells'!$C$4:$C$1005=1)*('Active Spells'!$E$4:$E$1005=$A18)*('Active Spells'!$F$4:$F$1005=B$2)*('Active Spells'!$D$4:$D$1005)),MAX((Feats!$C$4:$C$1005=$A18)*(Feats!$D$4:$D$1005=B$2)*(Feats!$B$4:$B$1005)),MAX((Equipment!$A$7:$A$1013=1)*(Equipment!$B$7:$B$1013=$A18)*(Equipment!$C$7:$C$1013=B$2)*(Equipment!$G$7:$G$1013)))</f>
        <v>0</v>
      </c>
      <c r="C18" s="8">
        <f t="array" ref="C18">MAX(MAX(('Active Spells'!$C$4:$C$1005=1)*('Active Spells'!$E$4:$E$1005=$A18)*('Active Spells'!$F$4:$F$1005=C$2)*('Active Spells'!$D$4:$D$1005)),MAX((Feats!$C$4:$C$1005=$A18)*(Feats!$D$4:$D$1005=C$2)*(Feats!$B$4:$B$1005)),MAX((Equipment!$A$7:$A$1013=1)*(Equipment!$B$7:$B$1013=$A18)*(Equipment!$C$7:$C$1013=C$2)*(Equipment!$G$7:$G$1013)))</f>
        <v>0</v>
      </c>
      <c r="D18" s="8">
        <f t="array" ref="D18">MAX(MAX(('Active Spells'!$C$4:$C$1005=1)*('Active Spells'!$E$4:$E$1005=$A18)*('Active Spells'!$F$4:$F$1005=D$2)*('Active Spells'!$D$4:$D$1005)),MAX((Feats!$C$4:$C$1005=$A18)*(Feats!$D$4:$D$1005=D$2)*(Feats!$B$4:$B$1005)),MAX((Equipment!$A$7:$A$1013=1)*(Equipment!$B$7:$B$1013=$A18)*(Equipment!$C$7:$C$1013=D$2)*(Equipment!$G$7:$G$1013)))</f>
        <v>0</v>
      </c>
      <c r="E18" s="8">
        <f t="array" ref="E18">MAX(MAX(('Active Spells'!$C$4:$C$1005=1)*('Active Spells'!$E$4:$E$1005=$A18)*('Active Spells'!$F$4:$F$1005=E$2)*('Active Spells'!$D$4:$D$1005)),MAX((Feats!$C$4:$C$1005=$A18)*(Feats!$D$4:$D$1005=E$2)*(Feats!$B$4:$B$1005)),MAX((Equipment!$A$7:$A$1013=1)*(Equipment!$B$7:$B$1013=$A18)*(Equipment!$C$7:$C$1013=E$2)*(Equipment!$G$7:$G$1013)))</f>
        <v>0</v>
      </c>
      <c r="F18" s="8">
        <f t="array" ref="F18">MAX(MAX(('Active Spells'!$C$4:$C$1005=1)*('Active Spells'!$E$4:$E$1005=$A18)*('Active Spells'!$F$4:$F$1005=F$2)*('Active Spells'!$D$4:$D$1005)),MAX((Feats!$C$4:$C$1005=$A18)*(Feats!$D$4:$D$1005=F$2)*(Feats!$B$4:$B$1005)),MAX((Equipment!$A$7:$A$1013=1)*(Equipment!$B$7:$B$1013=$A18)*(Equipment!$C$7:$C$1013=F$2)*(Equipment!$G$7:$G$1013)))</f>
        <v>0</v>
      </c>
      <c r="G18" s="8">
        <f t="array" ref="G18">MAX(MAX(('Active Spells'!$C$4:$C$1005=1)*('Active Spells'!$E$4:$E$1005=$A18)*('Active Spells'!$F$4:$F$1005=G$2)*('Active Spells'!$D$4:$D$1005)),MAX((Feats!$C$4:$C$1005=$A18)*(Feats!$D$4:$D$1005=G$2)*(Feats!$B$4:$B$1005)),MAX((Equipment!$A$7:$A$1013=1)*(Equipment!$B$7:$B$1013=$A18)*(Equipment!$C$7:$C$1013=G$2)*(Equipment!$G$7:$G$1013)))</f>
        <v>0</v>
      </c>
      <c r="H18" s="8">
        <f t="array" ref="H18">MAX(MAX(('Active Spells'!$C$4:$C$1005=1)*('Active Spells'!$E$4:$E$1005=$A18)*('Active Spells'!$F$4:$F$1005=H$2)*('Active Spells'!$D$4:$D$1005)),MAX((Feats!$C$4:$C$1005=$A18)*(Feats!$D$4:$D$1005=H$2)*(Feats!$B$4:$B$1005)),MAX((Equipment!$A$7:$A$1013=1)*(Equipment!$B$7:$B$1013=$A18)*(Equipment!$C$7:$C$1013=H$2)*(Equipment!$G$7:$G$1013)))</f>
        <v>0</v>
      </c>
      <c r="I18" s="8">
        <f t="array" ref="I18">MAX(MAX(('Active Spells'!$C$4:$C$1005=1)*('Active Spells'!$E$4:$E$1005=$A18)*('Active Spells'!$F$4:$F$1005=I$2)*('Active Spells'!$D$4:$D$1005)),MAX((Feats!$C$4:$C$1005=$A18)*(Feats!$D$4:$D$1005=I$2)*(Feats!$B$4:$B$1005)),MAX((Equipment!$A$7:$A$1013=1)*(Equipment!$B$7:$B$1013=$A18)*(Equipment!$C$7:$C$1013=I$2)*(Equipment!$G$7:$G$1013)))</f>
        <v>0</v>
      </c>
      <c r="J18" s="8">
        <f t="array" ref="J18">MAX(MAX(('Active Spells'!$C$4:$C$1005=1)*('Active Spells'!$E$4:$E$1005=$A18)*('Active Spells'!$F$4:$F$1005=J$2)*('Active Spells'!$D$4:$D$1005)),MAX((Feats!$C$4:$C$1005=$A18)*(Feats!$D$4:$D$1005=J$2)*(Feats!$B$4:$B$1005)),MAX((Equipment!$A$7:$A$1013=1)*(Equipment!$B$7:$B$1013=$A18)*(Equipment!$C$7:$C$1013=J$2)*(Equipment!$G$7:$G$1013)))</f>
        <v>0</v>
      </c>
      <c r="K18" s="8">
        <f t="array" ref="K18">MAX(MAX(('Active Spells'!$C$4:$C$1005=1)*('Active Spells'!$E$4:$E$1005=$A18)*('Active Spells'!$F$4:$F$1005=K$2)*('Active Spells'!$D$4:$D$1005)),MAX((Feats!$C$4:$C$1005=$A18)*(Feats!$D$4:$D$1005=K$2)*(Feats!$B$4:$B$1005)),MAX((Equipment!$A$7:$A$1013=1)*(Equipment!$B$7:$B$1013=$A18)*(Equipment!$C$7:$C$1013=K$2)*(Equipment!$G$7:$G$1013)))</f>
        <v>0</v>
      </c>
      <c r="L18" s="8">
        <f t="array" ref="L18">MAX(MAX(('Active Spells'!$C$4:$C$1005=1)*('Active Spells'!$E$4:$E$1005=$A18)*('Active Spells'!$F$4:$F$1005=L$2)*('Active Spells'!$D$4:$D$1005)),MAX((Feats!$C$4:$C$1005=$A18)*(Feats!$D$4:$D$1005=L$2)*(Feats!$B$4:$B$1005)),MAX((Equipment!$A$7:$A$1013=1)*(Equipment!$B$7:$B$1013=$A18)*(Equipment!$C$7:$C$1013=L$2)*(Equipment!$G$7:$G$1013)))</f>
        <v>0</v>
      </c>
      <c r="M18" s="8">
        <f t="array" ref="M18">MAX(MAX(('Active Spells'!$C$4:$C$1005=1)*('Active Spells'!$E$4:$E$1005=$A18)*('Active Spells'!$F$4:$F$1005=M$2)*('Active Spells'!$D$4:$D$1005),('Active Spells'!$C$4:$C$1005=1)*('Active Spells'!$E$4:$E$1005=$A18)*('Active Spells'!$F$4:$F$1005="Saves")*('Active Spells'!$D$4:$D$1005)),MAX((Feats!$C$4:$C$1005=$A18)*(Feats!$D$4:$D$1005=M$2)*(Feats!$B$4:$B$1005),(Feats!$C$4:$C$1005=$A18)*(Feats!$D$4:$D$1005="Saves")*(Feats!$B$4:$B$1005)),MAX((Equipment!$A$7:$A$1013=1)*(Equipment!$B$7:$B$1013=$A18)*(Equipment!$C$7:$C$1013=M$2)*(Equipment!$G$7:$G$1013),(Equipment!$A$7:$A$1013=1)*(Equipment!$B$7:$B$1013=$A18)*(Equipment!$C$7:$C$1013="Saves")*(Equipment!$G$7:$G$1013)))</f>
        <v>0</v>
      </c>
      <c r="N18" s="8">
        <f t="array" ref="N18">MAX(MAX(('Active Spells'!$C$4:$C$1005=1)*('Active Spells'!$E$4:$E$1005=$A18)*('Active Spells'!$F$4:$F$1005=N$2)*('Active Spells'!$D$4:$D$1005),('Active Spells'!$C$4:$C$1005=1)*('Active Spells'!$E$4:$E$1005=$A18)*('Active Spells'!$F$4:$F$1005="Saves")*('Active Spells'!$D$4:$D$1005)),MAX((Feats!$C$4:$C$1005=$A18)*(Feats!$D$4:$D$1005=N$2)*(Feats!$B$4:$B$1005),(Feats!$C$4:$C$1005=$A18)*(Feats!$D$4:$D$1005="Saves")*(Feats!$B$4:$B$1005)),MAX((Equipment!$A$7:$A$1013=1)*(Equipment!$B$7:$B$1013=$A18)*(Equipment!$C$7:$C$1013=N$2)*(Equipment!$G$7:$G$1013),(Equipment!$A$7:$A$1013=1)*(Equipment!$B$7:$B$1013=$A18)*(Equipment!$C$7:$C$1013="Saves")*(Equipment!$G$7:$G$1013)))</f>
        <v>0</v>
      </c>
      <c r="O18" s="8">
        <f t="array" ref="O18">MAX(MAX(('Active Spells'!$C$4:$C$1005=1)*('Active Spells'!$E$4:$E$1005=$A18)*('Active Spells'!$F$4:$F$1005=O$2)*('Active Spells'!$D$4:$D$1005),('Active Spells'!$C$4:$C$1005=1)*('Active Spells'!$E$4:$E$1005=$A18)*('Active Spells'!$F$4:$F$1005="Saves")*('Active Spells'!$D$4:$D$1005)),MAX((Feats!$C$4:$C$1005=$A18)*(Feats!$D$4:$D$1005=O$2)*(Feats!$B$4:$B$1005),(Feats!$C$4:$C$1005=$A18)*(Feats!$D$4:$D$1005="Saves")*(Feats!$B$4:$B$1005)),MAX((Equipment!$A$7:$A$1013=1)*(Equipment!$B$7:$B$1013=$A18)*(Equipment!$C$7:$C$1013=O$2)*(Equipment!$G$7:$G$1013),(Equipment!$A$7:$A$1013=1)*(Equipment!$B$7:$B$1013=$A18)*(Equipment!$C$7:$C$1013="Saves")*(Equipment!$G$7:$G$1013)))</f>
        <v>0</v>
      </c>
      <c r="P18" s="8">
        <f t="array" ref="P18">MAX(MAX(('Active Spells'!$C$4:$C$1005=1)*('Active Spells'!$E$4:$E$1005=$A18)*('Active Spells'!$F$4:$F$1005=P$2)*('Active Spells'!$D$4:$D$1005)),MAX((Feats!$C$4:$C$1005=$A18)*(Feats!$D$4:$D$1005=P$2)*(Feats!$B$4:$B$1005)),MAX((Equipment!$A$7:$A$1013=1)*(Equipment!$B$7:$B$1013=$A18)*(Equipment!$C$7:$C$1013=P$2)*(Equipment!$G$7:$G$1013)))</f>
        <v>0</v>
      </c>
      <c r="Q18" s="8">
        <f t="array" ref="Q18">MAX(MAX(('Active Spells'!$C$4:$C$1005=1)*('Active Spells'!$E$4:$E$1005=$A18)*('Active Spells'!$F$4:$F$1005=Q$2)*('Active Spells'!$D$4:$D$1005)),MAX((Feats!$C$4:$C$1005=$A18)*(Feats!$D$4:$D$1005=Q$2)*(Feats!$B$4:$B$1005)),MAX((Equipment!$A$7:$A$1013=1)*(Equipment!$B$7:$B$1013=$A18)*(Equipment!$C$7:$C$1013=Q$2)*(Equipment!$G$7:$G$1013)))</f>
        <v>0</v>
      </c>
      <c r="R18" s="8">
        <f t="array" ref="R18">MAX(MAX(('Active Spells'!$C$4:$C$1005=1)*('Active Spells'!$E$4:$E$1005=$A18)*('Active Spells'!$F$4:$F$1005=R$2)*('Active Spells'!$D$4:$D$1005)),MAX((Feats!$C$4:$C$1005=$A18)*(Feats!$D$4:$D$1005=R$2)*(Feats!$B$4:$B$1005)),MAX((Equipment!$A$7:$A$1013=1)*(Equipment!$B$7:$B$1013=$A18)*(Equipment!$C$7:$C$1013=R$2)*(Equipment!$G$7:$G$1013)))</f>
        <v>0</v>
      </c>
      <c r="S18" s="8">
        <f t="array" ref="S18">MAX(MAX(('Active Spells'!$C$4:$C$1005=1)*('Active Spells'!$E$4:$E$1005=$A18)*('Active Spells'!$F$4:$F$1005=S$2)*('Active Spells'!$D$4:$D$1005)),MAX((Feats!$C$4:$C$1005=$A18)*(Feats!$D$4:$D$1005=S$2)*(Feats!$B$4:$B$1005)),MAX((Equipment!$A$7:$A$1013=1)*(Equipment!$B$7:$B$1013=$A18)*(Equipment!$C$7:$C$1013=S$2)*(Equipment!$G$7:$G$1013)))</f>
        <v>0</v>
      </c>
      <c r="T18" s="8">
        <f t="array" ref="T18">MAX(MAX(('Active Spells'!$C$4:$C$1005=1)*('Active Spells'!$E$4:$E$1005=$A18)*('Active Spells'!$F$4:$F$1005=T$2)*('Active Spells'!$D$4:$D$1005)),MAX((Feats!$C$4:$C$1005=$A18)*(Feats!$D$4:$D$1005=T$2)*(Feats!$B$4:$B$1005)),MAX((Equipment!$A$7:$A$1013=1)*(Equipment!$B$7:$B$1013=$A18)*(Equipment!$C$7:$C$1013=T$2)*(Equipment!$G$7:$G$1013)))</f>
        <v>0</v>
      </c>
      <c r="U18" s="8">
        <f t="array" ref="U18">MAX(MAX(('Active Spells'!$C$4:$C$1005=1)*('Active Spells'!$E$4:$E$1005=$A18)*('Active Spells'!$F$4:$F$1005=U$2)*('Active Spells'!$D$4:$D$1005)),MAX((Feats!$C$4:$C$1005=$A18)*(Feats!$D$4:$D$1005=U$2)*(Feats!$B$4:$B$1005)),MAX((Equipment!$A$7:$A$1013=1)*(Equipment!$B$7:$B$1013=$A18)*(Equipment!$C$7:$C$1013=U$2)*(Equipment!$G$7:$G$1013)))</f>
        <v>0</v>
      </c>
      <c r="V18" s="8">
        <f t="array" ref="V18">MAX(MAX(('Active Spells'!$C$4:$C$1005=1)*('Active Spells'!$E$4:$E$1005=$A18)*('Active Spells'!$F$4:$F$1005=V$2)*('Active Spells'!$D$4:$D$1005)),MAX((Feats!$C$4:$C$1005=$A18)*(Feats!$D$4:$D$1005=V$2)*(Feats!$B$4:$B$1005)),MAX((Equipment!$A$7:$A$1013=1)*(Equipment!$B$7:$B$1013=$A18)*(Equipment!$C$7:$C$1013=V$2)*(Equipment!$G$7:$G$1013)))</f>
        <v>0</v>
      </c>
      <c r="W18" s="8">
        <f t="array" ref="W18">MAX(MAX(('Active Spells'!$C$4:$C$1005=1)*('Active Spells'!$E$4:$E$1005=$A18)*('Active Spells'!$F$4:$F$1005=W$2)*('Active Spells'!$D$4:$D$1005)),MAX((Feats!$C$4:$C$1005=$A18)*(Feats!$D$4:$D$1005=W$2)*(Feats!$B$4:$B$1005)),MAX((Equipment!$A$7:$A$1013=1)*(Equipment!$B$7:$B$1013=$A18)*(Equipment!$C$7:$C$1013=W$2)*(Equipment!$G$7:$G$1013)))</f>
        <v>0</v>
      </c>
      <c r="X18" s="8">
        <f t="array" ref="X18">MAX(MAX(('Active Spells'!$C$4:$C$1005=1)*('Active Spells'!$E$4:$E$1005=$A18)*('Active Spells'!$F$4:$F$1005=X$2)*('Active Spells'!$D$4:$D$1005)),MAX((Feats!$C$4:$C$1005=$A18)*(Feats!$D$4:$D$1005=X$2)*(Feats!$B$4:$B$1005)),MAX((Equipment!$A$7:$A$1013=1)*(Equipment!$B$7:$B$1013=$A18)*(Equipment!$C$7:$C$1013=X$2)*(Equipment!$G$7:$G$1013)))</f>
        <v>0</v>
      </c>
      <c r="Y18" s="8">
        <f t="array" ref="Y18">MAX(MAX(('Active Spells'!$C$4:$C$1005=1)*('Active Spells'!$E$4:$E$1005=$A18)*('Active Spells'!$F$4:$F$1005=Y$2)*('Active Spells'!$D$4:$D$1005)),MAX((Feats!$C$4:$C$1005=$A18)*(Feats!$D$4:$D$1005=Y$2)*(Feats!$B$4:$B$1005)),MAX((Equipment!$A$7:$A$1013=1)*(Equipment!$B$7:$B$1013=$A18)*(Equipment!$C$7:$C$1013=Y$2)*(Equipment!$G$7:$G$1013)))</f>
        <v>0</v>
      </c>
      <c r="Z18" s="8">
        <f t="array" ref="Z18">MAX(MAX(('Active Spells'!$C$4:$C$1005=1)*('Active Spells'!$E$4:$E$1005=$A18)*('Active Spells'!$F$4:$F$1005=Z$2)*('Active Spells'!$D$4:$D$1005)),MAX((Feats!$C$4:$C$1005=$A18)*(Feats!$D$4:$D$1005=Z$2)*(Feats!$B$4:$B$1005)),MAX((Equipment!$A$7:$A$1013=1)*(Equipment!$B$7:$B$1013=$A18)*(Equipment!$C$7:$C$1013=Z$2)*(Equipment!$G$7:$G$1013)))</f>
        <v>0</v>
      </c>
      <c r="AA18" s="8">
        <f t="array" ref="AA18">MAX(MAX(('Active Spells'!$C$4:$C$1005=1)*('Active Spells'!$E$4:$E$1005=$A18)*('Active Spells'!$F$4:$F$1005=AA$2)*('Active Spells'!$D$4:$D$1005)),MAX((Feats!$C$4:$C$1005=$A18)*(Feats!$D$4:$D$1005=AA$2)*(Feats!$B$4:$B$1005)),MAX((Equipment!$A$7:$A$1013=1)*(Equipment!$B$7:$B$1013=$A18)*(Equipment!$C$7:$C$1013=AA$2)*(Equipment!$G$7:$G$1013)))</f>
        <v>0</v>
      </c>
    </row>
    <row r="19" spans="1:27" x14ac:dyDescent="0.2">
      <c r="A19" s="6" t="s">
        <v>251</v>
      </c>
      <c r="B19" s="8">
        <f t="array" ref="B19">MAX(MAX(('Active Spells'!$C$4:$C$1005=1)*('Active Spells'!$E$4:$E$1005=$A19)*('Active Spells'!$F$4:$F$1005=B$2)*('Active Spells'!$D$4:$D$1005)),MAX((Feats!$C$4:$C$1005=$A19)*(Feats!$D$4:$D$1005=B$2)*(Feats!$B$4:$B$1005)),MAX((Equipment!$A$7:$A$1013=1)*(Equipment!$B$7:$B$1013=$A19)*(Equipment!$C$7:$C$1013=B$2)*(Equipment!$G$7:$G$1013)))</f>
        <v>2</v>
      </c>
      <c r="C19" s="8">
        <f t="array" ref="C19">MAX(MAX(('Active Spells'!$C$4:$C$1005=1)*('Active Spells'!$E$4:$E$1005=$A19)*('Active Spells'!$F$4:$F$1005=C$2)*('Active Spells'!$D$4:$D$1005)),MAX((Feats!$C$4:$C$1005=$A19)*(Feats!$D$4:$D$1005=C$2)*(Feats!$B$4:$B$1005)),MAX((Equipment!$A$7:$A$1013=1)*(Equipment!$B$7:$B$1013=$A19)*(Equipment!$C$7:$C$1013=C$2)*(Equipment!$G$7:$G$1013)))</f>
        <v>2</v>
      </c>
      <c r="D19" s="8">
        <f t="array" ref="D19">MAX(MAX(('Active Spells'!$C$4:$C$1005=1)*('Active Spells'!$E$4:$E$1005=$A19)*('Active Spells'!$F$4:$F$1005=D$2)*('Active Spells'!$D$4:$D$1005)),MAX((Feats!$C$4:$C$1005=$A19)*(Feats!$D$4:$D$1005=D$2)*(Feats!$B$4:$B$1005)),MAX((Equipment!$A$7:$A$1013=1)*(Equipment!$B$7:$B$1013=$A19)*(Equipment!$C$7:$C$1013=D$2)*(Equipment!$G$7:$G$1013)))</f>
        <v>0</v>
      </c>
      <c r="E19" s="8">
        <f t="array" ref="E19">MAX(MAX(('Active Spells'!$C$4:$C$1005=1)*('Active Spells'!$E$4:$E$1005=$A19)*('Active Spells'!$F$4:$F$1005=E$2)*('Active Spells'!$D$4:$D$1005)),MAX((Feats!$C$4:$C$1005=$A19)*(Feats!$D$4:$D$1005=E$2)*(Feats!$B$4:$B$1005)),MAX((Equipment!$A$7:$A$1013=1)*(Equipment!$B$7:$B$1013=$A19)*(Equipment!$C$7:$C$1013=E$2)*(Equipment!$G$7:$G$1013)))</f>
        <v>0</v>
      </c>
      <c r="F19" s="8">
        <f t="array" ref="F19">MAX(MAX(('Active Spells'!$C$4:$C$1005=1)*('Active Spells'!$E$4:$E$1005=$A19)*('Active Spells'!$F$4:$F$1005=F$2)*('Active Spells'!$D$4:$D$1005)),MAX((Feats!$C$4:$C$1005=$A19)*(Feats!$D$4:$D$1005=F$2)*(Feats!$B$4:$B$1005)),MAX((Equipment!$A$7:$A$1013=1)*(Equipment!$B$7:$B$1013=$A19)*(Equipment!$C$7:$C$1013=F$2)*(Equipment!$G$7:$G$1013)))</f>
        <v>0</v>
      </c>
      <c r="G19" s="8">
        <f t="array" ref="G19">MAX(MAX(('Active Spells'!$C$4:$C$1005=1)*('Active Spells'!$E$4:$E$1005=$A19)*('Active Spells'!$F$4:$F$1005=G$2)*('Active Spells'!$D$4:$D$1005)),MAX((Feats!$C$4:$C$1005=$A19)*(Feats!$D$4:$D$1005=G$2)*(Feats!$B$4:$B$1005)),MAX((Equipment!$A$7:$A$1013=1)*(Equipment!$B$7:$B$1013=$A19)*(Equipment!$C$7:$C$1013=G$2)*(Equipment!$G$7:$G$1013)))</f>
        <v>0</v>
      </c>
      <c r="H19" s="8">
        <f t="array" ref="H19">MAX(MAX(('Active Spells'!$C$4:$C$1005=1)*('Active Spells'!$E$4:$E$1005=$A19)*('Active Spells'!$F$4:$F$1005=H$2)*('Active Spells'!$D$4:$D$1005)),MAX((Feats!$C$4:$C$1005=$A19)*(Feats!$D$4:$D$1005=H$2)*(Feats!$B$4:$B$1005)),MAX((Equipment!$A$7:$A$1013=1)*(Equipment!$B$7:$B$1013=$A19)*(Equipment!$C$7:$C$1013=H$2)*(Equipment!$G$7:$G$1013)))</f>
        <v>0</v>
      </c>
      <c r="I19" s="8">
        <f t="array" ref="I19">MAX(MAX(('Active Spells'!$C$4:$C$1005=1)*('Active Spells'!$E$4:$E$1005=$A19)*('Active Spells'!$F$4:$F$1005=I$2)*('Active Spells'!$D$4:$D$1005)),MAX((Feats!$C$4:$C$1005=$A19)*(Feats!$D$4:$D$1005=I$2)*(Feats!$B$4:$B$1005)),MAX((Equipment!$A$7:$A$1013=1)*(Equipment!$B$7:$B$1013=$A19)*(Equipment!$C$7:$C$1013=I$2)*(Equipment!$G$7:$G$1013)))</f>
        <v>4</v>
      </c>
      <c r="J19" s="8">
        <f t="array" ref="J19">MAX(MAX(('Active Spells'!$C$4:$C$1005=1)*('Active Spells'!$E$4:$E$1005=$A19)*('Active Spells'!$F$4:$F$1005=J$2)*('Active Spells'!$D$4:$D$1005)),MAX((Feats!$C$4:$C$1005=$A19)*(Feats!$D$4:$D$1005=J$2)*(Feats!$B$4:$B$1005)),MAX((Equipment!$A$7:$A$1013=1)*(Equipment!$B$7:$B$1013=$A19)*(Equipment!$C$7:$C$1013=J$2)*(Equipment!$G$7:$G$1013)))</f>
        <v>0</v>
      </c>
      <c r="K19" s="8">
        <f t="array" ref="K19">MAX(MAX(('Active Spells'!$C$4:$C$1005=1)*('Active Spells'!$E$4:$E$1005=$A19)*('Active Spells'!$F$4:$F$1005=K$2)*('Active Spells'!$D$4:$D$1005)),MAX((Feats!$C$4:$C$1005=$A19)*(Feats!$D$4:$D$1005=K$2)*(Feats!$B$4:$B$1005)),MAX((Equipment!$A$7:$A$1013=1)*(Equipment!$B$7:$B$1013=$A19)*(Equipment!$C$7:$C$1013=K$2)*(Equipment!$G$7:$G$1013)))</f>
        <v>0</v>
      </c>
      <c r="L19" s="8">
        <f t="array" ref="L19">MAX(MAX(('Active Spells'!$C$4:$C$1005=1)*('Active Spells'!$E$4:$E$1005=$A19)*('Active Spells'!$F$4:$F$1005=L$2)*('Active Spells'!$D$4:$D$1005)),MAX((Feats!$C$4:$C$1005=$A19)*(Feats!$D$4:$D$1005=L$2)*(Feats!$B$4:$B$1005)),MAX((Equipment!$A$7:$A$1013=1)*(Equipment!$B$7:$B$1013=$A19)*(Equipment!$C$7:$C$1013=L$2)*(Equipment!$G$7:$G$1013)))</f>
        <v>5</v>
      </c>
      <c r="M19" s="8">
        <f t="array" ref="M19">MAX(MAX(('Active Spells'!$C$4:$C$1005=1)*('Active Spells'!$E$4:$E$1005=$A19)*('Active Spells'!$F$4:$F$1005=M$2)*('Active Spells'!$D$4:$D$1005),('Active Spells'!$C$4:$C$1005=1)*('Active Spells'!$E$4:$E$1005=$A19)*('Active Spells'!$F$4:$F$1005="Saves")*('Active Spells'!$D$4:$D$1005)),MAX((Feats!$C$4:$C$1005=$A19)*(Feats!$D$4:$D$1005=M$2)*(Feats!$B$4:$B$1005),(Feats!$C$4:$C$1005=$A19)*(Feats!$D$4:$D$1005="Saves")*(Feats!$B$4:$B$1005)),MAX((Equipment!$A$7:$A$1013=1)*(Equipment!$B$7:$B$1013=$A19)*(Equipment!$C$7:$C$1013=M$2)*(Equipment!$G$7:$G$1013),(Equipment!$A$7:$A$1013=1)*(Equipment!$B$7:$B$1013=$A19)*(Equipment!$C$7:$C$1013="Saves")*(Equipment!$G$7:$G$1013)))</f>
        <v>4</v>
      </c>
      <c r="N19" s="8">
        <f t="array" ref="N19">MAX(MAX(('Active Spells'!$C$4:$C$1005=1)*('Active Spells'!$E$4:$E$1005=$A19)*('Active Spells'!$F$4:$F$1005=N$2)*('Active Spells'!$D$4:$D$1005),('Active Spells'!$C$4:$C$1005=1)*('Active Spells'!$E$4:$E$1005=$A19)*('Active Spells'!$F$4:$F$1005="Saves")*('Active Spells'!$D$4:$D$1005)),MAX((Feats!$C$4:$C$1005=$A19)*(Feats!$D$4:$D$1005=N$2)*(Feats!$B$4:$B$1005),(Feats!$C$4:$C$1005=$A19)*(Feats!$D$4:$D$1005="Saves")*(Feats!$B$4:$B$1005)),MAX((Equipment!$A$7:$A$1013=1)*(Equipment!$B$7:$B$1013=$A19)*(Equipment!$C$7:$C$1013=N$2)*(Equipment!$G$7:$G$1013),(Equipment!$A$7:$A$1013=1)*(Equipment!$B$7:$B$1013=$A19)*(Equipment!$C$7:$C$1013="Saves")*(Equipment!$G$7:$G$1013)))</f>
        <v>4</v>
      </c>
      <c r="O19" s="8">
        <f t="array" ref="O19">MAX(MAX(('Active Spells'!$C$4:$C$1005=1)*('Active Spells'!$E$4:$E$1005=$A19)*('Active Spells'!$F$4:$F$1005=O$2)*('Active Spells'!$D$4:$D$1005),('Active Spells'!$C$4:$C$1005=1)*('Active Spells'!$E$4:$E$1005=$A19)*('Active Spells'!$F$4:$F$1005="Saves")*('Active Spells'!$D$4:$D$1005)),MAX((Feats!$C$4:$C$1005=$A19)*(Feats!$D$4:$D$1005=O$2)*(Feats!$B$4:$B$1005),(Feats!$C$4:$C$1005=$A19)*(Feats!$D$4:$D$1005="Saves")*(Feats!$B$4:$B$1005)),MAX((Equipment!$A$7:$A$1013=1)*(Equipment!$B$7:$B$1013=$A19)*(Equipment!$C$7:$C$1013=O$2)*(Equipment!$G$7:$G$1013),(Equipment!$A$7:$A$1013=1)*(Equipment!$B$7:$B$1013=$A19)*(Equipment!$C$7:$C$1013="Saves")*(Equipment!$G$7:$G$1013)))</f>
        <v>4</v>
      </c>
      <c r="P19" s="8">
        <f t="array" ref="P19">MAX(MAX(('Active Spells'!$C$4:$C$1005=1)*('Active Spells'!$E$4:$E$1005=$A19)*('Active Spells'!$F$4:$F$1005=P$2)*('Active Spells'!$D$4:$D$1005)),MAX((Feats!$C$4:$C$1005=$A19)*(Feats!$D$4:$D$1005=P$2)*(Feats!$B$4:$B$1005)),MAX((Equipment!$A$7:$A$1013=1)*(Equipment!$B$7:$B$1013=$A19)*(Equipment!$C$7:$C$1013=P$2)*(Equipment!$G$7:$G$1013)))</f>
        <v>0</v>
      </c>
      <c r="Q19" s="8">
        <f t="array" ref="Q19">MAX(MAX(('Active Spells'!$C$4:$C$1005=1)*('Active Spells'!$E$4:$E$1005=$A19)*('Active Spells'!$F$4:$F$1005=Q$2)*('Active Spells'!$D$4:$D$1005)),MAX((Feats!$C$4:$C$1005=$A19)*(Feats!$D$4:$D$1005=Q$2)*(Feats!$B$4:$B$1005)),MAX((Equipment!$A$7:$A$1013=1)*(Equipment!$B$7:$B$1013=$A19)*(Equipment!$C$7:$C$1013=Q$2)*(Equipment!$G$7:$G$1013)))</f>
        <v>0</v>
      </c>
      <c r="R19" s="8">
        <f t="array" ref="R19">MAX(MAX(('Active Spells'!$C$4:$C$1005=1)*('Active Spells'!$E$4:$E$1005=$A19)*('Active Spells'!$F$4:$F$1005=R$2)*('Active Spells'!$D$4:$D$1005)),MAX((Feats!$C$4:$C$1005=$A19)*(Feats!$D$4:$D$1005=R$2)*(Feats!$B$4:$B$1005)),MAX((Equipment!$A$7:$A$1013=1)*(Equipment!$B$7:$B$1013=$A19)*(Equipment!$C$7:$C$1013=R$2)*(Equipment!$G$7:$G$1013)))</f>
        <v>0</v>
      </c>
      <c r="S19" s="8">
        <f t="array" ref="S19">MAX(MAX(('Active Spells'!$C$4:$C$1005=1)*('Active Spells'!$E$4:$E$1005=$A19)*('Active Spells'!$F$4:$F$1005=S$2)*('Active Spells'!$D$4:$D$1005)),MAX((Feats!$C$4:$C$1005=$A19)*(Feats!$D$4:$D$1005=S$2)*(Feats!$B$4:$B$1005)),MAX((Equipment!$A$7:$A$1013=1)*(Equipment!$B$7:$B$1013=$A19)*(Equipment!$C$7:$C$1013=S$2)*(Equipment!$G$7:$G$1013)))</f>
        <v>0</v>
      </c>
      <c r="T19" s="8">
        <f t="array" ref="T19">MAX(MAX(('Active Spells'!$C$4:$C$1005=1)*('Active Spells'!$E$4:$E$1005=$A19)*('Active Spells'!$F$4:$F$1005=T$2)*('Active Spells'!$D$4:$D$1005)),MAX((Feats!$C$4:$C$1005=$A19)*(Feats!$D$4:$D$1005=T$2)*(Feats!$B$4:$B$1005)),MAX((Equipment!$A$7:$A$1013=1)*(Equipment!$B$7:$B$1013=$A19)*(Equipment!$C$7:$C$1013=T$2)*(Equipment!$G$7:$G$1013)))</f>
        <v>4</v>
      </c>
      <c r="U19" s="8">
        <f t="array" ref="U19">MAX(MAX(('Active Spells'!$C$4:$C$1005=1)*('Active Spells'!$E$4:$E$1005=$A19)*('Active Spells'!$F$4:$F$1005=U$2)*('Active Spells'!$D$4:$D$1005)),MAX((Feats!$C$4:$C$1005=$A19)*(Feats!$D$4:$D$1005=U$2)*(Feats!$B$4:$B$1005)),MAX((Equipment!$A$7:$A$1013=1)*(Equipment!$B$7:$B$1013=$A19)*(Equipment!$C$7:$C$1013=U$2)*(Equipment!$G$7:$G$1013)))</f>
        <v>4</v>
      </c>
      <c r="V19" s="8">
        <f t="array" ref="V19">MAX(MAX(('Active Spells'!$C$4:$C$1005=1)*('Active Spells'!$E$4:$E$1005=$A19)*('Active Spells'!$F$4:$F$1005=V$2)*('Active Spells'!$D$4:$D$1005)),MAX((Feats!$C$4:$C$1005=$A19)*(Feats!$D$4:$D$1005=V$2)*(Feats!$B$4:$B$1005)),MAX((Equipment!$A$7:$A$1013=1)*(Equipment!$B$7:$B$1013=$A19)*(Equipment!$C$7:$C$1013=V$2)*(Equipment!$G$7:$G$1013)))</f>
        <v>0</v>
      </c>
      <c r="W19" s="8">
        <f t="array" ref="W19">MAX(MAX(('Active Spells'!$C$4:$C$1005=1)*('Active Spells'!$E$4:$E$1005=$A19)*('Active Spells'!$F$4:$F$1005=W$2)*('Active Spells'!$D$4:$D$1005)),MAX((Feats!$C$4:$C$1005=$A19)*(Feats!$D$4:$D$1005=W$2)*(Feats!$B$4:$B$1005)),MAX((Equipment!$A$7:$A$1013=1)*(Equipment!$B$7:$B$1013=$A19)*(Equipment!$C$7:$C$1013=W$2)*(Equipment!$G$7:$G$1013)))</f>
        <v>0</v>
      </c>
      <c r="X19" s="8">
        <f t="array" ref="X19">MAX(MAX(('Active Spells'!$C$4:$C$1005=1)*('Active Spells'!$E$4:$E$1005=$A19)*('Active Spells'!$F$4:$F$1005=X$2)*('Active Spells'!$D$4:$D$1005)),MAX((Feats!$C$4:$C$1005=$A19)*(Feats!$D$4:$D$1005=X$2)*(Feats!$B$4:$B$1005)),MAX((Equipment!$A$7:$A$1013=1)*(Equipment!$B$7:$B$1013=$A19)*(Equipment!$C$7:$C$1013=X$2)*(Equipment!$G$7:$G$1013)))</f>
        <v>0</v>
      </c>
      <c r="Y19" s="8">
        <f t="array" ref="Y19">MAX(MAX(('Active Spells'!$C$4:$C$1005=1)*('Active Spells'!$E$4:$E$1005=$A19)*('Active Spells'!$F$4:$F$1005=Y$2)*('Active Spells'!$D$4:$D$1005)),MAX((Feats!$C$4:$C$1005=$A19)*(Feats!$D$4:$D$1005=Y$2)*(Feats!$B$4:$B$1005)),MAX((Equipment!$A$7:$A$1013=1)*(Equipment!$B$7:$B$1013=$A19)*(Equipment!$C$7:$C$1013=Y$2)*(Equipment!$G$7:$G$1013)))</f>
        <v>0</v>
      </c>
      <c r="Z19" s="8">
        <f t="array" ref="Z19">MAX(MAX(('Active Spells'!$C$4:$C$1005=1)*('Active Spells'!$E$4:$E$1005=$A19)*('Active Spells'!$F$4:$F$1005=Z$2)*('Active Spells'!$D$4:$D$1005)),MAX((Feats!$C$4:$C$1005=$A19)*(Feats!$D$4:$D$1005=Z$2)*(Feats!$B$4:$B$1005)),MAX((Equipment!$A$7:$A$1013=1)*(Equipment!$B$7:$B$1013=$A19)*(Equipment!$C$7:$C$1013=Z$2)*(Equipment!$G$7:$G$1013)))</f>
        <v>0</v>
      </c>
      <c r="AA19" s="8">
        <f t="array" ref="AA19">MAX(MAX(('Active Spells'!$C$4:$C$1005=1)*('Active Spells'!$E$4:$E$1005=$A19)*('Active Spells'!$F$4:$F$1005=AA$2)*('Active Spells'!$D$4:$D$1005)),MAX((Feats!$C$4:$C$1005=$A19)*(Feats!$D$4:$D$1005=AA$2)*(Feats!$B$4:$B$1005)),MAX((Equipment!$A$7:$A$1013=1)*(Equipment!$B$7:$B$1013=$A19)*(Equipment!$C$7:$C$1013=AA$2)*(Equipment!$G$7:$G$1013)))</f>
        <v>0</v>
      </c>
    </row>
    <row r="20" spans="1:27" x14ac:dyDescent="0.2">
      <c r="A20" s="6" t="s">
        <v>271</v>
      </c>
      <c r="B20" s="8">
        <f t="array" ref="B20">MAX(MAX(('Active Spells'!$C$4:$C$1005=1)*('Active Spells'!$E$4:$E$1005=$A20)*('Active Spells'!$F$4:$F$1005=B$2)*('Active Spells'!$D$4:$D$1005)),MAX((Feats!$C$4:$C$1005=$A20)*(Feats!$D$4:$D$1005=B$2)*(Feats!$B$4:$B$1005)),MAX((Equipment!$A$7:$A$1013=1)*(Equipment!$B$7:$B$1013=$A20)*(Equipment!$C$7:$C$1013=B$2)*(Equipment!$G$7:$G$1013)))</f>
        <v>0</v>
      </c>
      <c r="C20" s="8">
        <f t="array" ref="C20">MAX(MAX(('Active Spells'!$C$4:$C$1005=1)*('Active Spells'!$E$4:$E$1005=$A20)*('Active Spells'!$F$4:$F$1005=C$2)*('Active Spells'!$D$4:$D$1005)),MAX((Feats!$C$4:$C$1005=$A20)*(Feats!$D$4:$D$1005=C$2)*(Feats!$B$4:$B$1005)),MAX((Equipment!$A$7:$A$1013=1)*(Equipment!$B$7:$B$1013=$A20)*(Equipment!$C$7:$C$1013=C$2)*(Equipment!$G$7:$G$1013)))</f>
        <v>0</v>
      </c>
      <c r="D20" s="8">
        <f t="array" ref="D20">MAX(MAX(('Active Spells'!$C$4:$C$1005=1)*('Active Spells'!$E$4:$E$1005=$A20)*('Active Spells'!$F$4:$F$1005=D$2)*('Active Spells'!$D$4:$D$1005)),MAX((Feats!$C$4:$C$1005=$A20)*(Feats!$D$4:$D$1005=D$2)*(Feats!$B$4:$B$1005)),MAX((Equipment!$A$7:$A$1013=1)*(Equipment!$B$7:$B$1013=$A20)*(Equipment!$C$7:$C$1013=D$2)*(Equipment!$G$7:$G$1013)))</f>
        <v>0</v>
      </c>
      <c r="E20" s="8">
        <f t="array" ref="E20">MAX(MAX(('Active Spells'!$C$4:$C$1005=1)*('Active Spells'!$E$4:$E$1005=$A20)*('Active Spells'!$F$4:$F$1005=E$2)*('Active Spells'!$D$4:$D$1005)),MAX((Feats!$C$4:$C$1005=$A20)*(Feats!$D$4:$D$1005=E$2)*(Feats!$B$4:$B$1005)),MAX((Equipment!$A$7:$A$1013=1)*(Equipment!$B$7:$B$1013=$A20)*(Equipment!$C$7:$C$1013=E$2)*(Equipment!$G$7:$G$1013)))</f>
        <v>0</v>
      </c>
      <c r="F20" s="8">
        <f t="array" ref="F20">MAX(MAX(('Active Spells'!$C$4:$C$1005=1)*('Active Spells'!$E$4:$E$1005=$A20)*('Active Spells'!$F$4:$F$1005=F$2)*('Active Spells'!$D$4:$D$1005)),MAX((Feats!$C$4:$C$1005=$A20)*(Feats!$D$4:$D$1005=F$2)*(Feats!$B$4:$B$1005)),MAX((Equipment!$A$7:$A$1013=1)*(Equipment!$B$7:$B$1013=$A20)*(Equipment!$C$7:$C$1013=F$2)*(Equipment!$G$7:$G$1013)))</f>
        <v>0</v>
      </c>
      <c r="G20" s="8">
        <f t="array" ref="G20">MAX(MAX(('Active Spells'!$C$4:$C$1005=1)*('Active Spells'!$E$4:$E$1005=$A20)*('Active Spells'!$F$4:$F$1005=G$2)*('Active Spells'!$D$4:$D$1005)),MAX((Feats!$C$4:$C$1005=$A20)*(Feats!$D$4:$D$1005=G$2)*(Feats!$B$4:$B$1005)),MAX((Equipment!$A$7:$A$1013=1)*(Equipment!$B$7:$B$1013=$A20)*(Equipment!$C$7:$C$1013=G$2)*(Equipment!$G$7:$G$1013)))</f>
        <v>0</v>
      </c>
      <c r="H20" s="8">
        <f t="array" ref="H20">MAX(MAX(('Active Spells'!$C$4:$C$1005=1)*('Active Spells'!$E$4:$E$1005=$A20)*('Active Spells'!$F$4:$F$1005=H$2)*('Active Spells'!$D$4:$D$1005)),MAX((Feats!$C$4:$C$1005=$A20)*(Feats!$D$4:$D$1005=H$2)*(Feats!$B$4:$B$1005)),MAX((Equipment!$A$7:$A$1013=1)*(Equipment!$B$7:$B$1013=$A20)*(Equipment!$C$7:$C$1013=H$2)*(Equipment!$G$7:$G$1013)))</f>
        <v>5</v>
      </c>
      <c r="I20" s="8">
        <f t="array" ref="I20">MAX(MAX(('Active Spells'!$C$4:$C$1005=1)*('Active Spells'!$E$4:$E$1005=$A20)*('Active Spells'!$F$4:$F$1005=I$2)*('Active Spells'!$D$4:$D$1005)),MAX((Feats!$C$4:$C$1005=$A20)*(Feats!$D$4:$D$1005=I$2)*(Feats!$B$4:$B$1005)),MAX((Equipment!$A$7:$A$1013=1)*(Equipment!$B$7:$B$1013=$A20)*(Equipment!$C$7:$C$1013=I$2)*(Equipment!$G$7:$G$1013)))</f>
        <v>0</v>
      </c>
      <c r="J20" s="8">
        <f t="array" ref="J20">MAX(MAX(('Active Spells'!$C$4:$C$1005=1)*('Active Spells'!$E$4:$E$1005=$A20)*('Active Spells'!$F$4:$F$1005=J$2)*('Active Spells'!$D$4:$D$1005)),MAX((Feats!$C$4:$C$1005=$A20)*(Feats!$D$4:$D$1005=J$2)*(Feats!$B$4:$B$1005)),MAX((Equipment!$A$7:$A$1013=1)*(Equipment!$B$7:$B$1013=$A20)*(Equipment!$C$7:$C$1013=J$2)*(Equipment!$G$7:$G$1013)))</f>
        <v>0</v>
      </c>
      <c r="K20" s="8">
        <f t="array" ref="K20">MAX(MAX(('Active Spells'!$C$4:$C$1005=1)*('Active Spells'!$E$4:$E$1005=$A20)*('Active Spells'!$F$4:$F$1005=K$2)*('Active Spells'!$D$4:$D$1005)),MAX((Feats!$C$4:$C$1005=$A20)*(Feats!$D$4:$D$1005=K$2)*(Feats!$B$4:$B$1005)),MAX((Equipment!$A$7:$A$1013=1)*(Equipment!$B$7:$B$1013=$A20)*(Equipment!$C$7:$C$1013=K$2)*(Equipment!$G$7:$G$1013)))</f>
        <v>0</v>
      </c>
      <c r="L20" s="8">
        <f t="array" ref="L20">MAX(MAX(('Active Spells'!$C$4:$C$1005=1)*('Active Spells'!$E$4:$E$1005=$A20)*('Active Spells'!$F$4:$F$1005=L$2)*('Active Spells'!$D$4:$D$1005)),MAX((Feats!$C$4:$C$1005=$A20)*(Feats!$D$4:$D$1005=L$2)*(Feats!$B$4:$B$1005)),MAX((Equipment!$A$7:$A$1013=1)*(Equipment!$B$7:$B$1013=$A20)*(Equipment!$C$7:$C$1013=L$2)*(Equipment!$G$7:$G$1013)))</f>
        <v>0</v>
      </c>
      <c r="M20" s="8">
        <f t="array" ref="M20">MAX(MAX(('Active Spells'!$C$4:$C$1005=1)*('Active Spells'!$E$4:$E$1005=$A20)*('Active Spells'!$F$4:$F$1005=M$2)*('Active Spells'!$D$4:$D$1005),('Active Spells'!$C$4:$C$1005=1)*('Active Spells'!$E$4:$E$1005=$A20)*('Active Spells'!$F$4:$F$1005="Saves")*('Active Spells'!$D$4:$D$1005)),MAX((Feats!$C$4:$C$1005=$A20)*(Feats!$D$4:$D$1005=M$2)*(Feats!$B$4:$B$1005),(Feats!$C$4:$C$1005=$A20)*(Feats!$D$4:$D$1005="Saves")*(Feats!$B$4:$B$1005)),MAX((Equipment!$A$7:$A$1013=1)*(Equipment!$B$7:$B$1013=$A20)*(Equipment!$C$7:$C$1013=M$2)*(Equipment!$G$7:$G$1013),(Equipment!$A$7:$A$1013=1)*(Equipment!$B$7:$B$1013=$A20)*(Equipment!$C$7:$C$1013="Saves")*(Equipment!$G$7:$G$1013)))</f>
        <v>0</v>
      </c>
      <c r="N20" s="8">
        <f t="array" ref="N20">MAX(MAX(('Active Spells'!$C$4:$C$1005=1)*('Active Spells'!$E$4:$E$1005=$A20)*('Active Spells'!$F$4:$F$1005=N$2)*('Active Spells'!$D$4:$D$1005),('Active Spells'!$C$4:$C$1005=1)*('Active Spells'!$E$4:$E$1005=$A20)*('Active Spells'!$F$4:$F$1005="Saves")*('Active Spells'!$D$4:$D$1005)),MAX((Feats!$C$4:$C$1005=$A20)*(Feats!$D$4:$D$1005=N$2)*(Feats!$B$4:$B$1005),(Feats!$C$4:$C$1005=$A20)*(Feats!$D$4:$D$1005="Saves")*(Feats!$B$4:$B$1005)),MAX((Equipment!$A$7:$A$1013=1)*(Equipment!$B$7:$B$1013=$A20)*(Equipment!$C$7:$C$1013=N$2)*(Equipment!$G$7:$G$1013),(Equipment!$A$7:$A$1013=1)*(Equipment!$B$7:$B$1013=$A20)*(Equipment!$C$7:$C$1013="Saves")*(Equipment!$G$7:$G$1013)))</f>
        <v>0</v>
      </c>
      <c r="O20" s="8">
        <f t="array" ref="O20">MAX(MAX(('Active Spells'!$C$4:$C$1005=1)*('Active Spells'!$E$4:$E$1005=$A20)*('Active Spells'!$F$4:$F$1005=O$2)*('Active Spells'!$D$4:$D$1005),('Active Spells'!$C$4:$C$1005=1)*('Active Spells'!$E$4:$E$1005=$A20)*('Active Spells'!$F$4:$F$1005="Saves")*('Active Spells'!$D$4:$D$1005)),MAX((Feats!$C$4:$C$1005=$A20)*(Feats!$D$4:$D$1005=O$2)*(Feats!$B$4:$B$1005),(Feats!$C$4:$C$1005=$A20)*(Feats!$D$4:$D$1005="Saves")*(Feats!$B$4:$B$1005)),MAX((Equipment!$A$7:$A$1013=1)*(Equipment!$B$7:$B$1013=$A20)*(Equipment!$C$7:$C$1013=O$2)*(Equipment!$G$7:$G$1013),(Equipment!$A$7:$A$1013=1)*(Equipment!$B$7:$B$1013=$A20)*(Equipment!$C$7:$C$1013="Saves")*(Equipment!$G$7:$G$1013)))</f>
        <v>0</v>
      </c>
      <c r="P20" s="8">
        <f t="array" ref="P20">MAX(MAX(('Active Spells'!$C$4:$C$1005=1)*('Active Spells'!$E$4:$E$1005=$A20)*('Active Spells'!$F$4:$F$1005=P$2)*('Active Spells'!$D$4:$D$1005)),MAX((Feats!$C$4:$C$1005=$A20)*(Feats!$D$4:$D$1005=P$2)*(Feats!$B$4:$B$1005)),MAX((Equipment!$A$7:$A$1013=1)*(Equipment!$B$7:$B$1013=$A20)*(Equipment!$C$7:$C$1013=P$2)*(Equipment!$G$7:$G$1013)))</f>
        <v>0</v>
      </c>
      <c r="Q20" s="8">
        <f t="array" ref="Q20">MAX(MAX(('Active Spells'!$C$4:$C$1005=1)*('Active Spells'!$E$4:$E$1005=$A20)*('Active Spells'!$F$4:$F$1005=Q$2)*('Active Spells'!$D$4:$D$1005)),MAX((Feats!$C$4:$C$1005=$A20)*(Feats!$D$4:$D$1005=Q$2)*(Feats!$B$4:$B$1005)),MAX((Equipment!$A$7:$A$1013=1)*(Equipment!$B$7:$B$1013=$A20)*(Equipment!$C$7:$C$1013=Q$2)*(Equipment!$G$7:$G$1013)))</f>
        <v>0</v>
      </c>
      <c r="R20" s="8">
        <f t="array" ref="R20">MAX(MAX(('Active Spells'!$C$4:$C$1005=1)*('Active Spells'!$E$4:$E$1005=$A20)*('Active Spells'!$F$4:$F$1005=R$2)*('Active Spells'!$D$4:$D$1005)),MAX((Feats!$C$4:$C$1005=$A20)*(Feats!$D$4:$D$1005=R$2)*(Feats!$B$4:$B$1005)),MAX((Equipment!$A$7:$A$1013=1)*(Equipment!$B$7:$B$1013=$A20)*(Equipment!$C$7:$C$1013=R$2)*(Equipment!$G$7:$G$1013)))</f>
        <v>0</v>
      </c>
      <c r="S20" s="8">
        <f t="array" ref="S20">MAX(MAX(('Active Spells'!$C$4:$C$1005=1)*('Active Spells'!$E$4:$E$1005=$A20)*('Active Spells'!$F$4:$F$1005=S$2)*('Active Spells'!$D$4:$D$1005)),MAX((Feats!$C$4:$C$1005=$A20)*(Feats!$D$4:$D$1005=S$2)*(Feats!$B$4:$B$1005)),MAX((Equipment!$A$7:$A$1013=1)*(Equipment!$B$7:$B$1013=$A20)*(Equipment!$C$7:$C$1013=S$2)*(Equipment!$G$7:$G$1013)))</f>
        <v>0</v>
      </c>
      <c r="T20" s="8">
        <f t="array" ref="T20">MAX(MAX(('Active Spells'!$C$4:$C$1005=1)*('Active Spells'!$E$4:$E$1005=$A20)*('Active Spells'!$F$4:$F$1005=T$2)*('Active Spells'!$D$4:$D$1005)),MAX((Feats!$C$4:$C$1005=$A20)*(Feats!$D$4:$D$1005=T$2)*(Feats!$B$4:$B$1005)),MAX((Equipment!$A$7:$A$1013=1)*(Equipment!$B$7:$B$1013=$A20)*(Equipment!$C$7:$C$1013=T$2)*(Equipment!$G$7:$G$1013)))</f>
        <v>0</v>
      </c>
      <c r="U20" s="8">
        <f t="array" ref="U20">MAX(MAX(('Active Spells'!$C$4:$C$1005=1)*('Active Spells'!$E$4:$E$1005=$A20)*('Active Spells'!$F$4:$F$1005=U$2)*('Active Spells'!$D$4:$D$1005)),MAX((Feats!$C$4:$C$1005=$A20)*(Feats!$D$4:$D$1005=U$2)*(Feats!$B$4:$B$1005)),MAX((Equipment!$A$7:$A$1013=1)*(Equipment!$B$7:$B$1013=$A20)*(Equipment!$C$7:$C$1013=U$2)*(Equipment!$G$7:$G$1013)))</f>
        <v>0</v>
      </c>
      <c r="V20" s="8">
        <f t="array" ref="V20">MAX(MAX(('Active Spells'!$C$4:$C$1005=1)*('Active Spells'!$E$4:$E$1005=$A20)*('Active Spells'!$F$4:$F$1005=V$2)*('Active Spells'!$D$4:$D$1005)),MAX((Feats!$C$4:$C$1005=$A20)*(Feats!$D$4:$D$1005=V$2)*(Feats!$B$4:$B$1005)),MAX((Equipment!$A$7:$A$1013=1)*(Equipment!$B$7:$B$1013=$A20)*(Equipment!$C$7:$C$1013=V$2)*(Equipment!$G$7:$G$1013)))</f>
        <v>0</v>
      </c>
      <c r="W20" s="8">
        <f t="array" ref="W20">MAX(MAX(('Active Spells'!$C$4:$C$1005=1)*('Active Spells'!$E$4:$E$1005=$A20)*('Active Spells'!$F$4:$F$1005=W$2)*('Active Spells'!$D$4:$D$1005)),MAX((Feats!$C$4:$C$1005=$A20)*(Feats!$D$4:$D$1005=W$2)*(Feats!$B$4:$B$1005)),MAX((Equipment!$A$7:$A$1013=1)*(Equipment!$B$7:$B$1013=$A20)*(Equipment!$C$7:$C$1013=W$2)*(Equipment!$G$7:$G$1013)))</f>
        <v>0</v>
      </c>
      <c r="X20" s="8">
        <f t="array" ref="X20">MAX(MAX(('Active Spells'!$C$4:$C$1005=1)*('Active Spells'!$E$4:$E$1005=$A20)*('Active Spells'!$F$4:$F$1005=X$2)*('Active Spells'!$D$4:$D$1005)),MAX((Feats!$C$4:$C$1005=$A20)*(Feats!$D$4:$D$1005=X$2)*(Feats!$B$4:$B$1005)),MAX((Equipment!$A$7:$A$1013=1)*(Equipment!$B$7:$B$1013=$A20)*(Equipment!$C$7:$C$1013=X$2)*(Equipment!$G$7:$G$1013)))</f>
        <v>0</v>
      </c>
      <c r="Y20" s="8">
        <f t="array" ref="Y20">MAX(MAX(('Active Spells'!$C$4:$C$1005=1)*('Active Spells'!$E$4:$E$1005=$A20)*('Active Spells'!$F$4:$F$1005=Y$2)*('Active Spells'!$D$4:$D$1005)),MAX((Feats!$C$4:$C$1005=$A20)*(Feats!$D$4:$D$1005=Y$2)*(Feats!$B$4:$B$1005)),MAX((Equipment!$A$7:$A$1013=1)*(Equipment!$B$7:$B$1013=$A20)*(Equipment!$C$7:$C$1013=Y$2)*(Equipment!$G$7:$G$1013)))</f>
        <v>0</v>
      </c>
      <c r="Z20" s="8">
        <f t="array" ref="Z20">MAX(MAX(('Active Spells'!$C$4:$C$1005=1)*('Active Spells'!$E$4:$E$1005=$A20)*('Active Spells'!$F$4:$F$1005=Z$2)*('Active Spells'!$D$4:$D$1005)),MAX((Feats!$C$4:$C$1005=$A20)*(Feats!$D$4:$D$1005=Z$2)*(Feats!$B$4:$B$1005)),MAX((Equipment!$A$7:$A$1013=1)*(Equipment!$B$7:$B$1013=$A20)*(Equipment!$C$7:$C$1013=Z$2)*(Equipment!$G$7:$G$1013)))</f>
        <v>0</v>
      </c>
      <c r="AA20" s="8">
        <f t="array" ref="AA20">MAX(MAX(('Active Spells'!$C$4:$C$1005=1)*('Active Spells'!$E$4:$E$1005=$A20)*('Active Spells'!$F$4:$F$1005=AA$2)*('Active Spells'!$D$4:$D$1005)),MAX((Feats!$C$4:$C$1005=$A20)*(Feats!$D$4:$D$1005=AA$2)*(Feats!$B$4:$B$1005)),MAX((Equipment!$A$7:$A$1013=1)*(Equipment!$B$7:$B$1013=$A20)*(Equipment!$C$7:$C$1013=AA$2)*(Equipment!$G$7:$G$1013)))</f>
        <v>0</v>
      </c>
    </row>
    <row r="21" spans="1:27" x14ac:dyDescent="0.2">
      <c r="A21" s="6" t="s">
        <v>272</v>
      </c>
      <c r="B21" s="8">
        <f t="array" ref="B21">MAX(MAX(('Active Spells'!$C$4:$C$1005=1)*('Active Spells'!$E$4:$E$1005=$A21)*('Active Spells'!$F$4:$F$1005=B$2)*('Active Spells'!$D$4:$D$1005)),MAX((Feats!$C$4:$C$1005=$A21)*(Feats!$D$4:$D$1005=B$2)*(Feats!$B$4:$B$1005)),MAX((Equipment!$A$7:$A$1013=1)*(Equipment!$B$7:$B$1013=$A21)*(Equipment!$C$7:$C$1013=B$2)*(Equipment!$G$7:$G$1013)))</f>
        <v>0</v>
      </c>
      <c r="C21" s="8">
        <f t="array" ref="C21">MAX(MAX(('Active Spells'!$C$4:$C$1005=1)*('Active Spells'!$E$4:$E$1005=$A21)*('Active Spells'!$F$4:$F$1005=C$2)*('Active Spells'!$D$4:$D$1005)),MAX((Feats!$C$4:$C$1005=$A21)*(Feats!$D$4:$D$1005=C$2)*(Feats!$B$4:$B$1005)),MAX((Equipment!$A$7:$A$1013=1)*(Equipment!$B$7:$B$1013=$A21)*(Equipment!$C$7:$C$1013=C$2)*(Equipment!$G$7:$G$1013)))</f>
        <v>0</v>
      </c>
      <c r="D21" s="8">
        <f t="array" ref="D21">MAX(MAX(('Active Spells'!$C$4:$C$1005=1)*('Active Spells'!$E$4:$E$1005=$A21)*('Active Spells'!$F$4:$F$1005=D$2)*('Active Spells'!$D$4:$D$1005)),MAX((Feats!$C$4:$C$1005=$A21)*(Feats!$D$4:$D$1005=D$2)*(Feats!$B$4:$B$1005)),MAX((Equipment!$A$7:$A$1013=1)*(Equipment!$B$7:$B$1013=$A21)*(Equipment!$C$7:$C$1013=D$2)*(Equipment!$G$7:$G$1013)))</f>
        <v>0</v>
      </c>
      <c r="E21" s="8">
        <f t="array" ref="E21">MAX(MAX(('Active Spells'!$C$4:$C$1005=1)*('Active Spells'!$E$4:$E$1005=$A21)*('Active Spells'!$F$4:$F$1005=E$2)*('Active Spells'!$D$4:$D$1005)),MAX((Feats!$C$4:$C$1005=$A21)*(Feats!$D$4:$D$1005=E$2)*(Feats!$B$4:$B$1005)),MAX((Equipment!$A$7:$A$1013=1)*(Equipment!$B$7:$B$1013=$A21)*(Equipment!$C$7:$C$1013=E$2)*(Equipment!$G$7:$G$1013)))</f>
        <v>0</v>
      </c>
      <c r="F21" s="8">
        <f t="array" ref="F21">MAX(MAX(('Active Spells'!$C$4:$C$1005=1)*('Active Spells'!$E$4:$E$1005=$A21)*('Active Spells'!$F$4:$F$1005=F$2)*('Active Spells'!$D$4:$D$1005)),MAX((Feats!$C$4:$C$1005=$A21)*(Feats!$D$4:$D$1005=F$2)*(Feats!$B$4:$B$1005)),MAX((Equipment!$A$7:$A$1013=1)*(Equipment!$B$7:$B$1013=$A21)*(Equipment!$C$7:$C$1013=F$2)*(Equipment!$G$7:$G$1013)))</f>
        <v>0</v>
      </c>
      <c r="G21" s="8">
        <f t="array" ref="G21">MAX(MAX(('Active Spells'!$C$4:$C$1005=1)*('Active Spells'!$E$4:$E$1005=$A21)*('Active Spells'!$F$4:$F$1005=G$2)*('Active Spells'!$D$4:$D$1005)),MAX((Feats!$C$4:$C$1005=$A21)*(Feats!$D$4:$D$1005=G$2)*(Feats!$B$4:$B$1005)),MAX((Equipment!$A$7:$A$1013=1)*(Equipment!$B$7:$B$1013=$A21)*(Equipment!$C$7:$C$1013=G$2)*(Equipment!$G$7:$G$1013)))</f>
        <v>0</v>
      </c>
      <c r="H21" s="8">
        <f t="array" ref="H21">MAX(MAX(('Active Spells'!$C$4:$C$1005=1)*('Active Spells'!$E$4:$E$1005=$A21)*('Active Spells'!$F$4:$F$1005=H$2)*('Active Spells'!$D$4:$D$1005)),MAX((Feats!$C$4:$C$1005=$A21)*(Feats!$D$4:$D$1005=H$2)*(Feats!$B$4:$B$1005)),MAX((Equipment!$A$7:$A$1013=1)*(Equipment!$B$7:$B$1013=$A21)*(Equipment!$C$7:$C$1013=H$2)*(Equipment!$G$7:$G$1013)))</f>
        <v>0</v>
      </c>
      <c r="I21" s="8">
        <f t="array" ref="I21">MAX(MAX(('Active Spells'!$C$4:$C$1005=1)*('Active Spells'!$E$4:$E$1005=$A21)*('Active Spells'!$F$4:$F$1005=I$2)*('Active Spells'!$D$4:$D$1005)),MAX((Feats!$C$4:$C$1005=$A21)*(Feats!$D$4:$D$1005=I$2)*(Feats!$B$4:$B$1005)),MAX((Equipment!$A$7:$A$1013=1)*(Equipment!$B$7:$B$1013=$A21)*(Equipment!$C$7:$C$1013=I$2)*(Equipment!$G$7:$G$1013)))</f>
        <v>0</v>
      </c>
      <c r="J21" s="8">
        <f t="array" ref="J21">MAX(MAX(('Active Spells'!$C$4:$C$1005=1)*('Active Spells'!$E$4:$E$1005=$A21)*('Active Spells'!$F$4:$F$1005=J$2)*('Active Spells'!$D$4:$D$1005)),MAX((Feats!$C$4:$C$1005=$A21)*(Feats!$D$4:$D$1005=J$2)*(Feats!$B$4:$B$1005)),MAX((Equipment!$A$7:$A$1013=1)*(Equipment!$B$7:$B$1013=$A21)*(Equipment!$C$7:$C$1013=J$2)*(Equipment!$G$7:$G$1013)))</f>
        <v>0</v>
      </c>
      <c r="K21" s="8">
        <f t="array" ref="K21">MAX(MAX(('Active Spells'!$C$4:$C$1005=1)*('Active Spells'!$E$4:$E$1005=$A21)*('Active Spells'!$F$4:$F$1005=K$2)*('Active Spells'!$D$4:$D$1005)),MAX((Feats!$C$4:$C$1005=$A21)*(Feats!$D$4:$D$1005=K$2)*(Feats!$B$4:$B$1005)),MAX((Equipment!$A$7:$A$1013=1)*(Equipment!$B$7:$B$1013=$A21)*(Equipment!$C$7:$C$1013=K$2)*(Equipment!$G$7:$G$1013)))</f>
        <v>0</v>
      </c>
      <c r="L21" s="8">
        <f t="array" ref="L21">MAX(MAX(('Active Spells'!$C$4:$C$1005=1)*('Active Spells'!$E$4:$E$1005=$A21)*('Active Spells'!$F$4:$F$1005=L$2)*('Active Spells'!$D$4:$D$1005)),MAX((Feats!$C$4:$C$1005=$A21)*(Feats!$D$4:$D$1005=L$2)*(Feats!$B$4:$B$1005)),MAX((Equipment!$A$7:$A$1013=1)*(Equipment!$B$7:$B$1013=$A21)*(Equipment!$C$7:$C$1013=L$2)*(Equipment!$G$7:$G$1013)))</f>
        <v>0</v>
      </c>
      <c r="M21" s="8">
        <f t="array" ref="M21">MAX(MAX(('Active Spells'!$C$4:$C$1005=1)*('Active Spells'!$E$4:$E$1005=$A21)*('Active Spells'!$F$4:$F$1005=M$2)*('Active Spells'!$D$4:$D$1005),('Active Spells'!$C$4:$C$1005=1)*('Active Spells'!$E$4:$E$1005=$A21)*('Active Spells'!$F$4:$F$1005="Saves")*('Active Spells'!$D$4:$D$1005)),MAX((Feats!$C$4:$C$1005=$A21)*(Feats!$D$4:$D$1005=M$2)*(Feats!$B$4:$B$1005),(Feats!$C$4:$C$1005=$A21)*(Feats!$D$4:$D$1005="Saves")*(Feats!$B$4:$B$1005)),MAX((Equipment!$A$7:$A$1013=1)*(Equipment!$B$7:$B$1013=$A21)*(Equipment!$C$7:$C$1013=M$2)*(Equipment!$G$7:$G$1013),(Equipment!$A$7:$A$1013=1)*(Equipment!$B$7:$B$1013=$A21)*(Equipment!$C$7:$C$1013="Saves")*(Equipment!$G$7:$G$1013)))</f>
        <v>0</v>
      </c>
      <c r="N21" s="8">
        <f t="array" ref="N21">MAX(MAX(('Active Spells'!$C$4:$C$1005=1)*('Active Spells'!$E$4:$E$1005=$A21)*('Active Spells'!$F$4:$F$1005=N$2)*('Active Spells'!$D$4:$D$1005),('Active Spells'!$C$4:$C$1005=1)*('Active Spells'!$E$4:$E$1005=$A21)*('Active Spells'!$F$4:$F$1005="Saves")*('Active Spells'!$D$4:$D$1005)),MAX((Feats!$C$4:$C$1005=$A21)*(Feats!$D$4:$D$1005=N$2)*(Feats!$B$4:$B$1005),(Feats!$C$4:$C$1005=$A21)*(Feats!$D$4:$D$1005="Saves")*(Feats!$B$4:$B$1005)),MAX((Equipment!$A$7:$A$1013=1)*(Equipment!$B$7:$B$1013=$A21)*(Equipment!$C$7:$C$1013=N$2)*(Equipment!$G$7:$G$1013),(Equipment!$A$7:$A$1013=1)*(Equipment!$B$7:$B$1013=$A21)*(Equipment!$C$7:$C$1013="Saves")*(Equipment!$G$7:$G$1013)))</f>
        <v>0</v>
      </c>
      <c r="O21" s="8">
        <f t="array" ref="O21">MAX(MAX(('Active Spells'!$C$4:$C$1005=1)*('Active Spells'!$E$4:$E$1005=$A21)*('Active Spells'!$F$4:$F$1005=O$2)*('Active Spells'!$D$4:$D$1005),('Active Spells'!$C$4:$C$1005=1)*('Active Spells'!$E$4:$E$1005=$A21)*('Active Spells'!$F$4:$F$1005="Saves")*('Active Spells'!$D$4:$D$1005)),MAX((Feats!$C$4:$C$1005=$A21)*(Feats!$D$4:$D$1005=O$2)*(Feats!$B$4:$B$1005),(Feats!$C$4:$C$1005=$A21)*(Feats!$D$4:$D$1005="Saves")*(Feats!$B$4:$B$1005)),MAX((Equipment!$A$7:$A$1013=1)*(Equipment!$B$7:$B$1013=$A21)*(Equipment!$C$7:$C$1013=O$2)*(Equipment!$G$7:$G$1013),(Equipment!$A$7:$A$1013=1)*(Equipment!$B$7:$B$1013=$A21)*(Equipment!$C$7:$C$1013="Saves")*(Equipment!$G$7:$G$1013)))</f>
        <v>0</v>
      </c>
      <c r="P21" s="8">
        <f t="array" ref="P21">MAX(MAX(('Active Spells'!$C$4:$C$1005=1)*('Active Spells'!$E$4:$E$1005=$A21)*('Active Spells'!$F$4:$F$1005=P$2)*('Active Spells'!$D$4:$D$1005)),MAX((Feats!$C$4:$C$1005=$A21)*(Feats!$D$4:$D$1005=P$2)*(Feats!$B$4:$B$1005)),MAX((Equipment!$A$7:$A$1013=1)*(Equipment!$B$7:$B$1013=$A21)*(Equipment!$C$7:$C$1013=P$2)*(Equipment!$G$7:$G$1013)))</f>
        <v>0</v>
      </c>
      <c r="Q21" s="8">
        <f t="array" ref="Q21">MAX(MAX(('Active Spells'!$C$4:$C$1005=1)*('Active Spells'!$E$4:$E$1005=$A21)*('Active Spells'!$F$4:$F$1005=Q$2)*('Active Spells'!$D$4:$D$1005)),MAX((Feats!$C$4:$C$1005=$A21)*(Feats!$D$4:$D$1005=Q$2)*(Feats!$B$4:$B$1005)),MAX((Equipment!$A$7:$A$1013=1)*(Equipment!$B$7:$B$1013=$A21)*(Equipment!$C$7:$C$1013=Q$2)*(Equipment!$G$7:$G$1013)))</f>
        <v>0</v>
      </c>
      <c r="R21" s="8">
        <f t="array" ref="R21">MAX(MAX(('Active Spells'!$C$4:$C$1005=1)*('Active Spells'!$E$4:$E$1005=$A21)*('Active Spells'!$F$4:$F$1005=R$2)*('Active Spells'!$D$4:$D$1005)),MAX((Feats!$C$4:$C$1005=$A21)*(Feats!$D$4:$D$1005=R$2)*(Feats!$B$4:$B$1005)),MAX((Equipment!$A$7:$A$1013=1)*(Equipment!$B$7:$B$1013=$A21)*(Equipment!$C$7:$C$1013=R$2)*(Equipment!$G$7:$G$1013)))</f>
        <v>0</v>
      </c>
      <c r="S21" s="8">
        <f t="array" ref="S21">MAX(MAX(('Active Spells'!$C$4:$C$1005=1)*('Active Spells'!$E$4:$E$1005=$A21)*('Active Spells'!$F$4:$F$1005=S$2)*('Active Spells'!$D$4:$D$1005)),MAX((Feats!$C$4:$C$1005=$A21)*(Feats!$D$4:$D$1005=S$2)*(Feats!$B$4:$B$1005)),MAX((Equipment!$A$7:$A$1013=1)*(Equipment!$B$7:$B$1013=$A21)*(Equipment!$C$7:$C$1013=S$2)*(Equipment!$G$7:$G$1013)))</f>
        <v>0</v>
      </c>
      <c r="T21" s="8">
        <f t="array" ref="T21">MAX(MAX(('Active Spells'!$C$4:$C$1005=1)*('Active Spells'!$E$4:$E$1005=$A21)*('Active Spells'!$F$4:$F$1005=T$2)*('Active Spells'!$D$4:$D$1005)),MAX((Feats!$C$4:$C$1005=$A21)*(Feats!$D$4:$D$1005=T$2)*(Feats!$B$4:$B$1005)),MAX((Equipment!$A$7:$A$1013=1)*(Equipment!$B$7:$B$1013=$A21)*(Equipment!$C$7:$C$1013=T$2)*(Equipment!$G$7:$G$1013)))</f>
        <v>0</v>
      </c>
      <c r="U21" s="8">
        <f t="array" ref="U21">MAX(MAX(('Active Spells'!$C$4:$C$1005=1)*('Active Spells'!$E$4:$E$1005=$A21)*('Active Spells'!$F$4:$F$1005=U$2)*('Active Spells'!$D$4:$D$1005)),MAX((Feats!$C$4:$C$1005=$A21)*(Feats!$D$4:$D$1005=U$2)*(Feats!$B$4:$B$1005)),MAX((Equipment!$A$7:$A$1013=1)*(Equipment!$B$7:$B$1013=$A21)*(Equipment!$C$7:$C$1013=U$2)*(Equipment!$G$7:$G$1013)))</f>
        <v>0</v>
      </c>
      <c r="V21" s="8">
        <f t="array" ref="V21">MAX(MAX(('Active Spells'!$C$4:$C$1005=1)*('Active Spells'!$E$4:$E$1005=$A21)*('Active Spells'!$F$4:$F$1005=V$2)*('Active Spells'!$D$4:$D$1005)),MAX((Feats!$C$4:$C$1005=$A21)*(Feats!$D$4:$D$1005=V$2)*(Feats!$B$4:$B$1005)),MAX((Equipment!$A$7:$A$1013=1)*(Equipment!$B$7:$B$1013=$A21)*(Equipment!$C$7:$C$1013=V$2)*(Equipment!$G$7:$G$1013)))</f>
        <v>0</v>
      </c>
      <c r="W21" s="8">
        <f t="array" ref="W21">MAX(MAX(('Active Spells'!$C$4:$C$1005=1)*('Active Spells'!$E$4:$E$1005=$A21)*('Active Spells'!$F$4:$F$1005=W$2)*('Active Spells'!$D$4:$D$1005)),MAX((Feats!$C$4:$C$1005=$A21)*(Feats!$D$4:$D$1005=W$2)*(Feats!$B$4:$B$1005)),MAX((Equipment!$A$7:$A$1013=1)*(Equipment!$B$7:$B$1013=$A21)*(Equipment!$C$7:$C$1013=W$2)*(Equipment!$G$7:$G$1013)))</f>
        <v>0</v>
      </c>
      <c r="X21" s="8">
        <f t="array" ref="X21">MAX(MAX(('Active Spells'!$C$4:$C$1005=1)*('Active Spells'!$E$4:$E$1005=$A21)*('Active Spells'!$F$4:$F$1005=X$2)*('Active Spells'!$D$4:$D$1005)),MAX((Feats!$C$4:$C$1005=$A21)*(Feats!$D$4:$D$1005=X$2)*(Feats!$B$4:$B$1005)),MAX((Equipment!$A$7:$A$1013=1)*(Equipment!$B$7:$B$1013=$A21)*(Equipment!$C$7:$C$1013=X$2)*(Equipment!$G$7:$G$1013)))</f>
        <v>0</v>
      </c>
      <c r="Y21" s="8">
        <f t="array" ref="Y21">MAX(MAX(('Active Spells'!$C$4:$C$1005=1)*('Active Spells'!$E$4:$E$1005=$A21)*('Active Spells'!$F$4:$F$1005=Y$2)*('Active Spells'!$D$4:$D$1005)),MAX((Feats!$C$4:$C$1005=$A21)*(Feats!$D$4:$D$1005=Y$2)*(Feats!$B$4:$B$1005)),MAX((Equipment!$A$7:$A$1013=1)*(Equipment!$B$7:$B$1013=$A21)*(Equipment!$C$7:$C$1013=Y$2)*(Equipment!$G$7:$G$1013)))</f>
        <v>0</v>
      </c>
      <c r="Z21" s="8">
        <f t="array" ref="Z21">MAX(MAX(('Active Spells'!$C$4:$C$1005=1)*('Active Spells'!$E$4:$E$1005=$A21)*('Active Spells'!$F$4:$F$1005=Z$2)*('Active Spells'!$D$4:$D$1005)),MAX((Feats!$C$4:$C$1005=$A21)*(Feats!$D$4:$D$1005=Z$2)*(Feats!$B$4:$B$1005)),MAX((Equipment!$A$7:$A$1013=1)*(Equipment!$B$7:$B$1013=$A21)*(Equipment!$C$7:$C$1013=Z$2)*(Equipment!$G$7:$G$1013)))</f>
        <v>0</v>
      </c>
      <c r="AA21" s="8">
        <f t="array" ref="AA21">MAX(MAX(('Active Spells'!$C$4:$C$1005=1)*('Active Spells'!$E$4:$E$1005=$A21)*('Active Spells'!$F$4:$F$1005=AA$2)*('Active Spells'!$D$4:$D$1005)),MAX((Feats!$C$4:$C$1005=$A21)*(Feats!$D$4:$D$1005=AA$2)*(Feats!$B$4:$B$1005)),MAX((Equipment!$A$7:$A$1013=1)*(Equipment!$B$7:$B$1013=$A21)*(Equipment!$C$7:$C$1013=AA$2)*(Equipment!$G$7:$G$1013)))</f>
        <v>0</v>
      </c>
    </row>
    <row r="22" spans="1:27" x14ac:dyDescent="0.2">
      <c r="A22" s="6" t="s">
        <v>273</v>
      </c>
      <c r="B22" s="8">
        <f t="array" ref="B22">MAX(MAX(('Active Spells'!$C$4:$C$1005=1)*('Active Spells'!$E$4:$E$1005=$A22)*('Active Spells'!$F$4:$F$1005=B$2)*('Active Spells'!$D$4:$D$1005)),MAX((Feats!$C$4:$C$1005=$A22)*(Feats!$D$4:$D$1005=B$2)*(Feats!$B$4:$B$1005)),MAX((Equipment!$A$7:$A$1013=1)*(Equipment!$B$7:$B$1013=$A22)*(Equipment!$C$7:$C$1013=B$2)*(Equipment!$G$7:$G$1013)))</f>
        <v>0</v>
      </c>
      <c r="C22" s="8">
        <f t="array" ref="C22">MAX(MAX(('Active Spells'!$C$4:$C$1005=1)*('Active Spells'!$E$4:$E$1005=$A22)*('Active Spells'!$F$4:$F$1005=C$2)*('Active Spells'!$D$4:$D$1005)),MAX((Feats!$C$4:$C$1005=$A22)*(Feats!$D$4:$D$1005=C$2)*(Feats!$B$4:$B$1005)),MAX((Equipment!$A$7:$A$1013=1)*(Equipment!$B$7:$B$1013=$A22)*(Equipment!$C$7:$C$1013=C$2)*(Equipment!$G$7:$G$1013)))</f>
        <v>0</v>
      </c>
      <c r="D22" s="8">
        <f t="array" ref="D22">MAX(MAX(('Active Spells'!$C$4:$C$1005=1)*('Active Spells'!$E$4:$E$1005=$A22)*('Active Spells'!$F$4:$F$1005=D$2)*('Active Spells'!$D$4:$D$1005)),MAX((Feats!$C$4:$C$1005=$A22)*(Feats!$D$4:$D$1005=D$2)*(Feats!$B$4:$B$1005)),MAX((Equipment!$A$7:$A$1013=1)*(Equipment!$B$7:$B$1013=$A22)*(Equipment!$C$7:$C$1013=D$2)*(Equipment!$G$7:$G$1013)))</f>
        <v>0</v>
      </c>
      <c r="E22" s="8">
        <f t="array" ref="E22">MAX(MAX(('Active Spells'!$C$4:$C$1005=1)*('Active Spells'!$E$4:$E$1005=$A22)*('Active Spells'!$F$4:$F$1005=E$2)*('Active Spells'!$D$4:$D$1005)),MAX((Feats!$C$4:$C$1005=$A22)*(Feats!$D$4:$D$1005=E$2)*(Feats!$B$4:$B$1005)),MAX((Equipment!$A$7:$A$1013=1)*(Equipment!$B$7:$B$1013=$A22)*(Equipment!$C$7:$C$1013=E$2)*(Equipment!$G$7:$G$1013)))</f>
        <v>0</v>
      </c>
      <c r="F22" s="8">
        <f t="array" ref="F22">MAX(MAX(('Active Spells'!$C$4:$C$1005=1)*('Active Spells'!$E$4:$E$1005=$A22)*('Active Spells'!$F$4:$F$1005=F$2)*('Active Spells'!$D$4:$D$1005)),MAX((Feats!$C$4:$C$1005=$A22)*(Feats!$D$4:$D$1005=F$2)*(Feats!$B$4:$B$1005)),MAX((Equipment!$A$7:$A$1013=1)*(Equipment!$B$7:$B$1013=$A22)*(Equipment!$C$7:$C$1013=F$2)*(Equipment!$G$7:$G$1013)))</f>
        <v>0</v>
      </c>
      <c r="G22" s="8">
        <f t="array" ref="G22">MAX(MAX(('Active Spells'!$C$4:$C$1005=1)*('Active Spells'!$E$4:$E$1005=$A22)*('Active Spells'!$F$4:$F$1005=G$2)*('Active Spells'!$D$4:$D$1005)),MAX((Feats!$C$4:$C$1005=$A22)*(Feats!$D$4:$D$1005=G$2)*(Feats!$B$4:$B$1005)),MAX((Equipment!$A$7:$A$1013=1)*(Equipment!$B$7:$B$1013=$A22)*(Equipment!$C$7:$C$1013=G$2)*(Equipment!$G$7:$G$1013)))</f>
        <v>0</v>
      </c>
      <c r="H22" s="8">
        <f t="array" ref="H22">MAX(MAX(('Active Spells'!$C$4:$C$1005=1)*('Active Spells'!$E$4:$E$1005=$A22)*('Active Spells'!$F$4:$F$1005=H$2)*('Active Spells'!$D$4:$D$1005)),MAX((Feats!$C$4:$C$1005=$A22)*(Feats!$D$4:$D$1005=H$2)*(Feats!$B$4:$B$1005)),MAX((Equipment!$A$7:$A$1013=1)*(Equipment!$B$7:$B$1013=$A22)*(Equipment!$C$7:$C$1013=H$2)*(Equipment!$G$7:$G$1013)))</f>
        <v>0</v>
      </c>
      <c r="I22" s="8">
        <f t="array" ref="I22">MAX(MAX(('Active Spells'!$C$4:$C$1005=1)*('Active Spells'!$E$4:$E$1005=$A22)*('Active Spells'!$F$4:$F$1005=I$2)*('Active Spells'!$D$4:$D$1005)),MAX((Feats!$C$4:$C$1005=$A22)*(Feats!$D$4:$D$1005=I$2)*(Feats!$B$4:$B$1005)),MAX((Equipment!$A$7:$A$1013=1)*(Equipment!$B$7:$B$1013=$A22)*(Equipment!$C$7:$C$1013=I$2)*(Equipment!$G$7:$G$1013)))</f>
        <v>0</v>
      </c>
      <c r="J22" s="8">
        <f t="array" ref="J22">MAX(MAX(('Active Spells'!$C$4:$C$1005=1)*('Active Spells'!$E$4:$E$1005=$A22)*('Active Spells'!$F$4:$F$1005=J$2)*('Active Spells'!$D$4:$D$1005)),MAX((Feats!$C$4:$C$1005=$A22)*(Feats!$D$4:$D$1005=J$2)*(Feats!$B$4:$B$1005)),MAX((Equipment!$A$7:$A$1013=1)*(Equipment!$B$7:$B$1013=$A22)*(Equipment!$C$7:$C$1013=J$2)*(Equipment!$G$7:$G$1013)))</f>
        <v>0</v>
      </c>
      <c r="K22" s="8">
        <f t="array" ref="K22">MAX(MAX(('Active Spells'!$C$4:$C$1005=1)*('Active Spells'!$E$4:$E$1005=$A22)*('Active Spells'!$F$4:$F$1005=K$2)*('Active Spells'!$D$4:$D$1005)),MAX((Feats!$C$4:$C$1005=$A22)*(Feats!$D$4:$D$1005=K$2)*(Feats!$B$4:$B$1005)),MAX((Equipment!$A$7:$A$1013=1)*(Equipment!$B$7:$B$1013=$A22)*(Equipment!$C$7:$C$1013=K$2)*(Equipment!$G$7:$G$1013)))</f>
        <v>0</v>
      </c>
      <c r="L22" s="8">
        <f t="array" ref="L22">MAX(MAX(('Active Spells'!$C$4:$C$1005=1)*('Active Spells'!$E$4:$E$1005=$A22)*('Active Spells'!$F$4:$F$1005=L$2)*('Active Spells'!$D$4:$D$1005)),MAX((Feats!$C$4:$C$1005=$A22)*(Feats!$D$4:$D$1005=L$2)*(Feats!$B$4:$B$1005)),MAX((Equipment!$A$7:$A$1013=1)*(Equipment!$B$7:$B$1013=$A22)*(Equipment!$C$7:$C$1013=L$2)*(Equipment!$G$7:$G$1013)))</f>
        <v>0</v>
      </c>
      <c r="M22" s="8">
        <f t="array" ref="M22">MAX(MAX(('Active Spells'!$C$4:$C$1005=1)*('Active Spells'!$E$4:$E$1005=$A22)*('Active Spells'!$F$4:$F$1005=M$2)*('Active Spells'!$D$4:$D$1005),('Active Spells'!$C$4:$C$1005=1)*('Active Spells'!$E$4:$E$1005=$A22)*('Active Spells'!$F$4:$F$1005="Saves")*('Active Spells'!$D$4:$D$1005)),MAX((Feats!$C$4:$C$1005=$A22)*(Feats!$D$4:$D$1005=M$2)*(Feats!$B$4:$B$1005),(Feats!$C$4:$C$1005=$A22)*(Feats!$D$4:$D$1005="Saves")*(Feats!$B$4:$B$1005)),MAX((Equipment!$A$7:$A$1013=1)*(Equipment!$B$7:$B$1013=$A22)*(Equipment!$C$7:$C$1013=M$2)*(Equipment!$G$7:$G$1013),(Equipment!$A$7:$A$1013=1)*(Equipment!$B$7:$B$1013=$A22)*(Equipment!$C$7:$C$1013="Saves")*(Equipment!$G$7:$G$1013)))</f>
        <v>0</v>
      </c>
      <c r="N22" s="8">
        <f t="array" ref="N22">MAX(MAX(('Active Spells'!$C$4:$C$1005=1)*('Active Spells'!$E$4:$E$1005=$A22)*('Active Spells'!$F$4:$F$1005=N$2)*('Active Spells'!$D$4:$D$1005),('Active Spells'!$C$4:$C$1005=1)*('Active Spells'!$E$4:$E$1005=$A22)*('Active Spells'!$F$4:$F$1005="Saves")*('Active Spells'!$D$4:$D$1005)),MAX((Feats!$C$4:$C$1005=$A22)*(Feats!$D$4:$D$1005=N$2)*(Feats!$B$4:$B$1005),(Feats!$C$4:$C$1005=$A22)*(Feats!$D$4:$D$1005="Saves")*(Feats!$B$4:$B$1005)),MAX((Equipment!$A$7:$A$1013=1)*(Equipment!$B$7:$B$1013=$A22)*(Equipment!$C$7:$C$1013=N$2)*(Equipment!$G$7:$G$1013),(Equipment!$A$7:$A$1013=1)*(Equipment!$B$7:$B$1013=$A22)*(Equipment!$C$7:$C$1013="Saves")*(Equipment!$G$7:$G$1013)))</f>
        <v>0</v>
      </c>
      <c r="O22" s="8">
        <f t="array" ref="O22">MAX(MAX(('Active Spells'!$C$4:$C$1005=1)*('Active Spells'!$E$4:$E$1005=$A22)*('Active Spells'!$F$4:$F$1005=O$2)*('Active Spells'!$D$4:$D$1005),('Active Spells'!$C$4:$C$1005=1)*('Active Spells'!$E$4:$E$1005=$A22)*('Active Spells'!$F$4:$F$1005="Saves")*('Active Spells'!$D$4:$D$1005)),MAX((Feats!$C$4:$C$1005=$A22)*(Feats!$D$4:$D$1005=O$2)*(Feats!$B$4:$B$1005),(Feats!$C$4:$C$1005=$A22)*(Feats!$D$4:$D$1005="Saves")*(Feats!$B$4:$B$1005)),MAX((Equipment!$A$7:$A$1013=1)*(Equipment!$B$7:$B$1013=$A22)*(Equipment!$C$7:$C$1013=O$2)*(Equipment!$G$7:$G$1013),(Equipment!$A$7:$A$1013=1)*(Equipment!$B$7:$B$1013=$A22)*(Equipment!$C$7:$C$1013="Saves")*(Equipment!$G$7:$G$1013)))</f>
        <v>0</v>
      </c>
      <c r="P22" s="8">
        <f t="array" ref="P22">MAX(MAX(('Active Spells'!$C$4:$C$1005=1)*('Active Spells'!$E$4:$E$1005=$A22)*('Active Spells'!$F$4:$F$1005=P$2)*('Active Spells'!$D$4:$D$1005)),MAX((Feats!$C$4:$C$1005=$A22)*(Feats!$D$4:$D$1005=P$2)*(Feats!$B$4:$B$1005)),MAX((Equipment!$A$7:$A$1013=1)*(Equipment!$B$7:$B$1013=$A22)*(Equipment!$C$7:$C$1013=P$2)*(Equipment!$G$7:$G$1013)))</f>
        <v>0</v>
      </c>
      <c r="Q22" s="8">
        <f t="array" ref="Q22">MAX(MAX(('Active Spells'!$C$4:$C$1005=1)*('Active Spells'!$E$4:$E$1005=$A22)*('Active Spells'!$F$4:$F$1005=Q$2)*('Active Spells'!$D$4:$D$1005)),MAX((Feats!$C$4:$C$1005=$A22)*(Feats!$D$4:$D$1005=Q$2)*(Feats!$B$4:$B$1005)),MAX((Equipment!$A$7:$A$1013=1)*(Equipment!$B$7:$B$1013=$A22)*(Equipment!$C$7:$C$1013=Q$2)*(Equipment!$G$7:$G$1013)))</f>
        <v>0</v>
      </c>
      <c r="R22" s="8">
        <f t="array" ref="R22">MAX(MAX(('Active Spells'!$C$4:$C$1005=1)*('Active Spells'!$E$4:$E$1005=$A22)*('Active Spells'!$F$4:$F$1005=R$2)*('Active Spells'!$D$4:$D$1005)),MAX((Feats!$C$4:$C$1005=$A22)*(Feats!$D$4:$D$1005=R$2)*(Feats!$B$4:$B$1005)),MAX((Equipment!$A$7:$A$1013=1)*(Equipment!$B$7:$B$1013=$A22)*(Equipment!$C$7:$C$1013=R$2)*(Equipment!$G$7:$G$1013)))</f>
        <v>0</v>
      </c>
      <c r="S22" s="8">
        <f t="array" ref="S22">MAX(MAX(('Active Spells'!$C$4:$C$1005=1)*('Active Spells'!$E$4:$E$1005=$A22)*('Active Spells'!$F$4:$F$1005=S$2)*('Active Spells'!$D$4:$D$1005)),MAX((Feats!$C$4:$C$1005=$A22)*(Feats!$D$4:$D$1005=S$2)*(Feats!$B$4:$B$1005)),MAX((Equipment!$A$7:$A$1013=1)*(Equipment!$B$7:$B$1013=$A22)*(Equipment!$C$7:$C$1013=S$2)*(Equipment!$G$7:$G$1013)))</f>
        <v>0</v>
      </c>
      <c r="T22" s="8">
        <f t="array" ref="T22">MAX(MAX(('Active Spells'!$C$4:$C$1005=1)*('Active Spells'!$E$4:$E$1005=$A22)*('Active Spells'!$F$4:$F$1005=T$2)*('Active Spells'!$D$4:$D$1005)),MAX((Feats!$C$4:$C$1005=$A22)*(Feats!$D$4:$D$1005=T$2)*(Feats!$B$4:$B$1005)),MAX((Equipment!$A$7:$A$1013=1)*(Equipment!$B$7:$B$1013=$A22)*(Equipment!$C$7:$C$1013=T$2)*(Equipment!$G$7:$G$1013)))</f>
        <v>0</v>
      </c>
      <c r="U22" s="8">
        <f t="array" ref="U22">MAX(MAX(('Active Spells'!$C$4:$C$1005=1)*('Active Spells'!$E$4:$E$1005=$A22)*('Active Spells'!$F$4:$F$1005=U$2)*('Active Spells'!$D$4:$D$1005)),MAX((Feats!$C$4:$C$1005=$A22)*(Feats!$D$4:$D$1005=U$2)*(Feats!$B$4:$B$1005)),MAX((Equipment!$A$7:$A$1013=1)*(Equipment!$B$7:$B$1013=$A22)*(Equipment!$C$7:$C$1013=U$2)*(Equipment!$G$7:$G$1013)))</f>
        <v>0</v>
      </c>
      <c r="V22" s="8">
        <f t="array" ref="V22">MAX(MAX(('Active Spells'!$C$4:$C$1005=1)*('Active Spells'!$E$4:$E$1005=$A22)*('Active Spells'!$F$4:$F$1005=V$2)*('Active Spells'!$D$4:$D$1005)),MAX((Feats!$C$4:$C$1005=$A22)*(Feats!$D$4:$D$1005=V$2)*(Feats!$B$4:$B$1005)),MAX((Equipment!$A$7:$A$1013=1)*(Equipment!$B$7:$B$1013=$A22)*(Equipment!$C$7:$C$1013=V$2)*(Equipment!$G$7:$G$1013)))</f>
        <v>0</v>
      </c>
      <c r="W22" s="8">
        <f t="array" ref="W22">MAX(MAX(('Active Spells'!$C$4:$C$1005=1)*('Active Spells'!$E$4:$E$1005=$A22)*('Active Spells'!$F$4:$F$1005=W$2)*('Active Spells'!$D$4:$D$1005)),MAX((Feats!$C$4:$C$1005=$A22)*(Feats!$D$4:$D$1005=W$2)*(Feats!$B$4:$B$1005)),MAX((Equipment!$A$7:$A$1013=1)*(Equipment!$B$7:$B$1013=$A22)*(Equipment!$C$7:$C$1013=W$2)*(Equipment!$G$7:$G$1013)))</f>
        <v>0</v>
      </c>
      <c r="X22" s="8">
        <f t="array" ref="X22">MAX(MAX(('Active Spells'!$C$4:$C$1005=1)*('Active Spells'!$E$4:$E$1005=$A22)*('Active Spells'!$F$4:$F$1005=X$2)*('Active Spells'!$D$4:$D$1005)),MAX((Feats!$C$4:$C$1005=$A22)*(Feats!$D$4:$D$1005=X$2)*(Feats!$B$4:$B$1005)),MAX((Equipment!$A$7:$A$1013=1)*(Equipment!$B$7:$B$1013=$A22)*(Equipment!$C$7:$C$1013=X$2)*(Equipment!$G$7:$G$1013)))</f>
        <v>0</v>
      </c>
      <c r="Y22" s="8">
        <f t="array" ref="Y22">MAX(MAX(('Active Spells'!$C$4:$C$1005=1)*('Active Spells'!$E$4:$E$1005=$A22)*('Active Spells'!$F$4:$F$1005=Y$2)*('Active Spells'!$D$4:$D$1005)),MAX((Feats!$C$4:$C$1005=$A22)*(Feats!$D$4:$D$1005=Y$2)*(Feats!$B$4:$B$1005)),MAX((Equipment!$A$7:$A$1013=1)*(Equipment!$B$7:$B$1013=$A22)*(Equipment!$C$7:$C$1013=Y$2)*(Equipment!$G$7:$G$1013)))</f>
        <v>0</v>
      </c>
      <c r="Z22" s="8">
        <f t="array" ref="Z22">MAX(MAX(('Active Spells'!$C$4:$C$1005=1)*('Active Spells'!$E$4:$E$1005=$A22)*('Active Spells'!$F$4:$F$1005=Z$2)*('Active Spells'!$D$4:$D$1005)),MAX((Feats!$C$4:$C$1005=$A22)*(Feats!$D$4:$D$1005=Z$2)*(Feats!$B$4:$B$1005)),MAX((Equipment!$A$7:$A$1013=1)*(Equipment!$B$7:$B$1013=$A22)*(Equipment!$C$7:$C$1013=Z$2)*(Equipment!$G$7:$G$1013)))</f>
        <v>0</v>
      </c>
      <c r="AA22" s="8">
        <f t="array" ref="AA22">MAX(MAX(('Active Spells'!$C$4:$C$1005=1)*('Active Spells'!$E$4:$E$1005=$A22)*('Active Spells'!$F$4:$F$1005=AA$2)*('Active Spells'!$D$4:$D$1005)),MAX((Feats!$C$4:$C$1005=$A22)*(Feats!$D$4:$D$1005=AA$2)*(Feats!$B$4:$B$1005)),MAX((Equipment!$A$7:$A$1013=1)*(Equipment!$B$7:$B$1013=$A22)*(Equipment!$C$7:$C$1013=AA$2)*(Equipment!$G$7:$G$1013)))</f>
        <v>0</v>
      </c>
    </row>
    <row r="23" spans="1:27" x14ac:dyDescent="0.2">
      <c r="A23" s="6" t="s">
        <v>274</v>
      </c>
      <c r="B23" s="8">
        <f t="array" ref="B23">MAX(MAX(('Active Spells'!$C$4:$C$1005=1)*('Active Spells'!$E$4:$E$1005=$A23)*('Active Spells'!$F$4:$F$1005=B$2)*('Active Spells'!$D$4:$D$1005)),MAX((Feats!$C$4:$C$1005=$A23)*(Feats!$D$4:$D$1005=B$2)*(Feats!$B$4:$B$1005)),MAX((Equipment!$A$7:$A$1013=1)*(Equipment!$B$7:$B$1013=$A23)*(Equipment!$C$7:$C$1013=B$2)*(Equipment!$G$7:$G$1013)))</f>
        <v>0</v>
      </c>
      <c r="C23" s="8">
        <f t="array" ref="C23">MAX(MAX(('Active Spells'!$C$4:$C$1005=1)*('Active Spells'!$E$4:$E$1005=$A23)*('Active Spells'!$F$4:$F$1005=C$2)*('Active Spells'!$D$4:$D$1005)),MAX((Feats!$C$4:$C$1005=$A23)*(Feats!$D$4:$D$1005=C$2)*(Feats!$B$4:$B$1005)),MAX((Equipment!$A$7:$A$1013=1)*(Equipment!$B$7:$B$1013=$A23)*(Equipment!$C$7:$C$1013=C$2)*(Equipment!$G$7:$G$1013)))</f>
        <v>0</v>
      </c>
      <c r="D23" s="8">
        <f t="array" ref="D23">MAX(MAX(('Active Spells'!$C$4:$C$1005=1)*('Active Spells'!$E$4:$E$1005=$A23)*('Active Spells'!$F$4:$F$1005=D$2)*('Active Spells'!$D$4:$D$1005)),MAX((Feats!$C$4:$C$1005=$A23)*(Feats!$D$4:$D$1005=D$2)*(Feats!$B$4:$B$1005)),MAX((Equipment!$A$7:$A$1013=1)*(Equipment!$B$7:$B$1013=$A23)*(Equipment!$C$7:$C$1013=D$2)*(Equipment!$G$7:$G$1013)))</f>
        <v>0</v>
      </c>
      <c r="E23" s="8">
        <f t="array" ref="E23">MAX(MAX(('Active Spells'!$C$4:$C$1005=1)*('Active Spells'!$E$4:$E$1005=$A23)*('Active Spells'!$F$4:$F$1005=E$2)*('Active Spells'!$D$4:$D$1005)),MAX((Feats!$C$4:$C$1005=$A23)*(Feats!$D$4:$D$1005=E$2)*(Feats!$B$4:$B$1005)),MAX((Equipment!$A$7:$A$1013=1)*(Equipment!$B$7:$B$1013=$A23)*(Equipment!$C$7:$C$1013=E$2)*(Equipment!$G$7:$G$1013)))</f>
        <v>0</v>
      </c>
      <c r="F23" s="8">
        <f t="array" ref="F23">MAX(MAX(('Active Spells'!$C$4:$C$1005=1)*('Active Spells'!$E$4:$E$1005=$A23)*('Active Spells'!$F$4:$F$1005=F$2)*('Active Spells'!$D$4:$D$1005)),MAX((Feats!$C$4:$C$1005=$A23)*(Feats!$D$4:$D$1005=F$2)*(Feats!$B$4:$B$1005)),MAX((Equipment!$A$7:$A$1013=1)*(Equipment!$B$7:$B$1013=$A23)*(Equipment!$C$7:$C$1013=F$2)*(Equipment!$G$7:$G$1013)))</f>
        <v>0</v>
      </c>
      <c r="G23" s="8">
        <f t="array" ref="G23">MAX(MAX(('Active Spells'!$C$4:$C$1005=1)*('Active Spells'!$E$4:$E$1005=$A23)*('Active Spells'!$F$4:$F$1005=G$2)*('Active Spells'!$D$4:$D$1005)),MAX((Feats!$C$4:$C$1005=$A23)*(Feats!$D$4:$D$1005=G$2)*(Feats!$B$4:$B$1005)),MAX((Equipment!$A$7:$A$1013=1)*(Equipment!$B$7:$B$1013=$A23)*(Equipment!$C$7:$C$1013=G$2)*(Equipment!$G$7:$G$1013)))</f>
        <v>0</v>
      </c>
      <c r="H23" s="8">
        <f t="array" ref="H23">MAX(MAX(('Active Spells'!$C$4:$C$1005=1)*('Active Spells'!$E$4:$E$1005=$A23)*('Active Spells'!$F$4:$F$1005=H$2)*('Active Spells'!$D$4:$D$1005)),MAX((Feats!$C$4:$C$1005=$A23)*(Feats!$D$4:$D$1005=H$2)*(Feats!$B$4:$B$1005)),MAX((Equipment!$A$7:$A$1013=1)*(Equipment!$B$7:$B$1013=$A23)*(Equipment!$C$7:$C$1013=H$2)*(Equipment!$G$7:$G$1013)))</f>
        <v>0</v>
      </c>
      <c r="I23" s="8">
        <f t="array" ref="I23">MAX(MAX(('Active Spells'!$C$4:$C$1005=1)*('Active Spells'!$E$4:$E$1005=$A23)*('Active Spells'!$F$4:$F$1005=I$2)*('Active Spells'!$D$4:$D$1005)),MAX((Feats!$C$4:$C$1005=$A23)*(Feats!$D$4:$D$1005=I$2)*(Feats!$B$4:$B$1005)),MAX((Equipment!$A$7:$A$1013=1)*(Equipment!$B$7:$B$1013=$A23)*(Equipment!$C$7:$C$1013=I$2)*(Equipment!$G$7:$G$1013)))</f>
        <v>0</v>
      </c>
      <c r="J23" s="8">
        <f t="array" ref="J23">MAX(MAX(('Active Spells'!$C$4:$C$1005=1)*('Active Spells'!$E$4:$E$1005=$A23)*('Active Spells'!$F$4:$F$1005=J$2)*('Active Spells'!$D$4:$D$1005)),MAX((Feats!$C$4:$C$1005=$A23)*(Feats!$D$4:$D$1005=J$2)*(Feats!$B$4:$B$1005)),MAX((Equipment!$A$7:$A$1013=1)*(Equipment!$B$7:$B$1013=$A23)*(Equipment!$C$7:$C$1013=J$2)*(Equipment!$G$7:$G$1013)))</f>
        <v>0</v>
      </c>
      <c r="K23" s="8">
        <f t="array" ref="K23">MAX(MAX(('Active Spells'!$C$4:$C$1005=1)*('Active Spells'!$E$4:$E$1005=$A23)*('Active Spells'!$F$4:$F$1005=K$2)*('Active Spells'!$D$4:$D$1005)),MAX((Feats!$C$4:$C$1005=$A23)*(Feats!$D$4:$D$1005=K$2)*(Feats!$B$4:$B$1005)),MAX((Equipment!$A$7:$A$1013=1)*(Equipment!$B$7:$B$1013=$A23)*(Equipment!$C$7:$C$1013=K$2)*(Equipment!$G$7:$G$1013)))</f>
        <v>0</v>
      </c>
      <c r="L23" s="8">
        <f t="array" ref="L23">MAX(MAX(('Active Spells'!$C$4:$C$1005=1)*('Active Spells'!$E$4:$E$1005=$A23)*('Active Spells'!$F$4:$F$1005=L$2)*('Active Spells'!$D$4:$D$1005)),MAX((Feats!$C$4:$C$1005=$A23)*(Feats!$D$4:$D$1005=L$2)*(Feats!$B$4:$B$1005)),MAX((Equipment!$A$7:$A$1013=1)*(Equipment!$B$7:$B$1013=$A23)*(Equipment!$C$7:$C$1013=L$2)*(Equipment!$G$7:$G$1013)))</f>
        <v>0</v>
      </c>
      <c r="M23" s="8">
        <f t="array" ref="M23">MAX(MAX(('Active Spells'!$C$4:$C$1005=1)*('Active Spells'!$E$4:$E$1005=$A23)*('Active Spells'!$F$4:$F$1005=M$2)*('Active Spells'!$D$4:$D$1005),('Active Spells'!$C$4:$C$1005=1)*('Active Spells'!$E$4:$E$1005=$A23)*('Active Spells'!$F$4:$F$1005="Saves")*('Active Spells'!$D$4:$D$1005)),MAX((Feats!$C$4:$C$1005=$A23)*(Feats!$D$4:$D$1005=M$2)*(Feats!$B$4:$B$1005),(Feats!$C$4:$C$1005=$A23)*(Feats!$D$4:$D$1005="Saves")*(Feats!$B$4:$B$1005)),MAX((Equipment!$A$7:$A$1013=1)*(Equipment!$B$7:$B$1013=$A23)*(Equipment!$C$7:$C$1013=M$2)*(Equipment!$G$7:$G$1013),(Equipment!$A$7:$A$1013=1)*(Equipment!$B$7:$B$1013=$A23)*(Equipment!$C$7:$C$1013="Saves")*(Equipment!$G$7:$G$1013)))</f>
        <v>5</v>
      </c>
      <c r="N23" s="8">
        <f t="array" ref="N23">MAX(MAX(('Active Spells'!$C$4:$C$1005=1)*('Active Spells'!$E$4:$E$1005=$A23)*('Active Spells'!$F$4:$F$1005=N$2)*('Active Spells'!$D$4:$D$1005),('Active Spells'!$C$4:$C$1005=1)*('Active Spells'!$E$4:$E$1005=$A23)*('Active Spells'!$F$4:$F$1005="Saves")*('Active Spells'!$D$4:$D$1005)),MAX((Feats!$C$4:$C$1005=$A23)*(Feats!$D$4:$D$1005=N$2)*(Feats!$B$4:$B$1005),(Feats!$C$4:$C$1005=$A23)*(Feats!$D$4:$D$1005="Saves")*(Feats!$B$4:$B$1005)),MAX((Equipment!$A$7:$A$1013=1)*(Equipment!$B$7:$B$1013=$A23)*(Equipment!$C$7:$C$1013=N$2)*(Equipment!$G$7:$G$1013),(Equipment!$A$7:$A$1013=1)*(Equipment!$B$7:$B$1013=$A23)*(Equipment!$C$7:$C$1013="Saves")*(Equipment!$G$7:$G$1013)))</f>
        <v>5</v>
      </c>
      <c r="O23" s="8">
        <f t="array" ref="O23">MAX(MAX(('Active Spells'!$C$4:$C$1005=1)*('Active Spells'!$E$4:$E$1005=$A23)*('Active Spells'!$F$4:$F$1005=O$2)*('Active Spells'!$D$4:$D$1005),('Active Spells'!$C$4:$C$1005=1)*('Active Spells'!$E$4:$E$1005=$A23)*('Active Spells'!$F$4:$F$1005="Saves")*('Active Spells'!$D$4:$D$1005)),MAX((Feats!$C$4:$C$1005=$A23)*(Feats!$D$4:$D$1005=O$2)*(Feats!$B$4:$B$1005),(Feats!$C$4:$C$1005=$A23)*(Feats!$D$4:$D$1005="Saves")*(Feats!$B$4:$B$1005)),MAX((Equipment!$A$7:$A$1013=1)*(Equipment!$B$7:$B$1013=$A23)*(Equipment!$C$7:$C$1013=O$2)*(Equipment!$G$7:$G$1013),(Equipment!$A$7:$A$1013=1)*(Equipment!$B$7:$B$1013=$A23)*(Equipment!$C$7:$C$1013="Saves")*(Equipment!$G$7:$G$1013)))</f>
        <v>0</v>
      </c>
      <c r="P23" s="8">
        <f t="array" ref="P23">MAX(MAX(('Active Spells'!$C$4:$C$1005=1)*('Active Spells'!$E$4:$E$1005=$A23)*('Active Spells'!$F$4:$F$1005=P$2)*('Active Spells'!$D$4:$D$1005)),MAX((Feats!$C$4:$C$1005=$A23)*(Feats!$D$4:$D$1005=P$2)*(Feats!$B$4:$B$1005)),MAX((Equipment!$A$7:$A$1013=1)*(Equipment!$B$7:$B$1013=$A23)*(Equipment!$C$7:$C$1013=P$2)*(Equipment!$G$7:$G$1013)))</f>
        <v>0</v>
      </c>
      <c r="Q23" s="8">
        <f t="array" ref="Q23">MAX(MAX(('Active Spells'!$C$4:$C$1005=1)*('Active Spells'!$E$4:$E$1005=$A23)*('Active Spells'!$F$4:$F$1005=Q$2)*('Active Spells'!$D$4:$D$1005)),MAX((Feats!$C$4:$C$1005=$A23)*(Feats!$D$4:$D$1005=Q$2)*(Feats!$B$4:$B$1005)),MAX((Equipment!$A$7:$A$1013=1)*(Equipment!$B$7:$B$1013=$A23)*(Equipment!$C$7:$C$1013=Q$2)*(Equipment!$G$7:$G$1013)))</f>
        <v>0</v>
      </c>
      <c r="R23" s="8">
        <f t="array" ref="R23">MAX(MAX(('Active Spells'!$C$4:$C$1005=1)*('Active Spells'!$E$4:$E$1005=$A23)*('Active Spells'!$F$4:$F$1005=R$2)*('Active Spells'!$D$4:$D$1005)),MAX((Feats!$C$4:$C$1005=$A23)*(Feats!$D$4:$D$1005=R$2)*(Feats!$B$4:$B$1005)),MAX((Equipment!$A$7:$A$1013=1)*(Equipment!$B$7:$B$1013=$A23)*(Equipment!$C$7:$C$1013=R$2)*(Equipment!$G$7:$G$1013)))</f>
        <v>0</v>
      </c>
      <c r="S23" s="8">
        <f t="array" ref="S23">MAX(MAX(('Active Spells'!$C$4:$C$1005=1)*('Active Spells'!$E$4:$E$1005=$A23)*('Active Spells'!$F$4:$F$1005=S$2)*('Active Spells'!$D$4:$D$1005)),MAX((Feats!$C$4:$C$1005=$A23)*(Feats!$D$4:$D$1005=S$2)*(Feats!$B$4:$B$1005)),MAX((Equipment!$A$7:$A$1013=1)*(Equipment!$B$7:$B$1013=$A23)*(Equipment!$C$7:$C$1013=S$2)*(Equipment!$G$7:$G$1013)))</f>
        <v>0</v>
      </c>
      <c r="T23" s="8">
        <f t="array" ref="T23">MAX(MAX(('Active Spells'!$C$4:$C$1005=1)*('Active Spells'!$E$4:$E$1005=$A23)*('Active Spells'!$F$4:$F$1005=T$2)*('Active Spells'!$D$4:$D$1005)),MAX((Feats!$C$4:$C$1005=$A23)*(Feats!$D$4:$D$1005=T$2)*(Feats!$B$4:$B$1005)),MAX((Equipment!$A$7:$A$1013=1)*(Equipment!$B$7:$B$1013=$A23)*(Equipment!$C$7:$C$1013=T$2)*(Equipment!$G$7:$G$1013)))</f>
        <v>0</v>
      </c>
      <c r="U23" s="8">
        <f t="array" ref="U23">MAX(MAX(('Active Spells'!$C$4:$C$1005=1)*('Active Spells'!$E$4:$E$1005=$A23)*('Active Spells'!$F$4:$F$1005=U$2)*('Active Spells'!$D$4:$D$1005)),MAX((Feats!$C$4:$C$1005=$A23)*(Feats!$D$4:$D$1005=U$2)*(Feats!$B$4:$B$1005)),MAX((Equipment!$A$7:$A$1013=1)*(Equipment!$B$7:$B$1013=$A23)*(Equipment!$C$7:$C$1013=U$2)*(Equipment!$G$7:$G$1013)))</f>
        <v>0</v>
      </c>
      <c r="V23" s="8">
        <f t="array" ref="V23">MAX(MAX(('Active Spells'!$C$4:$C$1005=1)*('Active Spells'!$E$4:$E$1005=$A23)*('Active Spells'!$F$4:$F$1005=V$2)*('Active Spells'!$D$4:$D$1005)),MAX((Feats!$C$4:$C$1005=$A23)*(Feats!$D$4:$D$1005=V$2)*(Feats!$B$4:$B$1005)),MAX((Equipment!$A$7:$A$1013=1)*(Equipment!$B$7:$B$1013=$A23)*(Equipment!$C$7:$C$1013=V$2)*(Equipment!$G$7:$G$1013)))</f>
        <v>0</v>
      </c>
      <c r="W23" s="8">
        <f t="array" ref="W23">MAX(MAX(('Active Spells'!$C$4:$C$1005=1)*('Active Spells'!$E$4:$E$1005=$A23)*('Active Spells'!$F$4:$F$1005=W$2)*('Active Spells'!$D$4:$D$1005)),MAX((Feats!$C$4:$C$1005=$A23)*(Feats!$D$4:$D$1005=W$2)*(Feats!$B$4:$B$1005)),MAX((Equipment!$A$7:$A$1013=1)*(Equipment!$B$7:$B$1013=$A23)*(Equipment!$C$7:$C$1013=W$2)*(Equipment!$G$7:$G$1013)))</f>
        <v>0</v>
      </c>
      <c r="X23" s="8">
        <f t="array" ref="X23">MAX(MAX(('Active Spells'!$C$4:$C$1005=1)*('Active Spells'!$E$4:$E$1005=$A23)*('Active Spells'!$F$4:$F$1005=X$2)*('Active Spells'!$D$4:$D$1005)),MAX((Feats!$C$4:$C$1005=$A23)*(Feats!$D$4:$D$1005=X$2)*(Feats!$B$4:$B$1005)),MAX((Equipment!$A$7:$A$1013=1)*(Equipment!$B$7:$B$1013=$A23)*(Equipment!$C$7:$C$1013=X$2)*(Equipment!$G$7:$G$1013)))</f>
        <v>0</v>
      </c>
      <c r="Y23" s="8">
        <f t="array" ref="Y23">MAX(MAX(('Active Spells'!$C$4:$C$1005=1)*('Active Spells'!$E$4:$E$1005=$A23)*('Active Spells'!$F$4:$F$1005=Y$2)*('Active Spells'!$D$4:$D$1005)),MAX((Feats!$C$4:$C$1005=$A23)*(Feats!$D$4:$D$1005=Y$2)*(Feats!$B$4:$B$1005)),MAX((Equipment!$A$7:$A$1013=1)*(Equipment!$B$7:$B$1013=$A23)*(Equipment!$C$7:$C$1013=Y$2)*(Equipment!$G$7:$G$1013)))</f>
        <v>0</v>
      </c>
      <c r="Z23" s="8">
        <f t="array" ref="Z23">MAX(MAX(('Active Spells'!$C$4:$C$1005=1)*('Active Spells'!$E$4:$E$1005=$A23)*('Active Spells'!$F$4:$F$1005=Z$2)*('Active Spells'!$D$4:$D$1005)),MAX((Feats!$C$4:$C$1005=$A23)*(Feats!$D$4:$D$1005=Z$2)*(Feats!$B$4:$B$1005)),MAX((Equipment!$A$7:$A$1013=1)*(Equipment!$B$7:$B$1013=$A23)*(Equipment!$C$7:$C$1013=Z$2)*(Equipment!$G$7:$G$1013)))</f>
        <v>0</v>
      </c>
      <c r="AA23" s="8">
        <f t="array" ref="AA23">MAX(MAX(('Active Spells'!$C$4:$C$1005=1)*('Active Spells'!$E$4:$E$1005=$A23)*('Active Spells'!$F$4:$F$1005=AA$2)*('Active Spells'!$D$4:$D$1005)),MAX((Feats!$C$4:$C$1005=$A23)*(Feats!$D$4:$D$1005=AA$2)*(Feats!$B$4:$B$1005)),MAX((Equipment!$A$7:$A$1013=1)*(Equipment!$B$7:$B$1013=$A23)*(Equipment!$C$7:$C$1013=AA$2)*(Equipment!$G$7:$G$1013)))</f>
        <v>0</v>
      </c>
    </row>
    <row r="24" spans="1:27" x14ac:dyDescent="0.2">
      <c r="A24" s="6" t="s">
        <v>275</v>
      </c>
      <c r="B24" s="8">
        <f t="array" ref="B24">MAX(MAX(('Active Spells'!$C$4:$C$1005=1)*('Active Spells'!$E$4:$E$1005=$A24)*('Active Spells'!$F$4:$F$1005=B$2)*('Active Spells'!$D$4:$D$1005)),MAX((Feats!$C$4:$C$1005=$A24)*(Feats!$D$4:$D$1005=B$2)*(Feats!$B$4:$B$1005)),MAX((Equipment!$A$7:$A$1013=1)*(Equipment!$B$7:$B$1013=$A24)*(Equipment!$C$7:$C$1013=B$2)*(Equipment!$G$7:$G$1013)))</f>
        <v>0</v>
      </c>
      <c r="C24" s="8">
        <f t="array" ref="C24">MAX(MAX(('Active Spells'!$C$4:$C$1005=1)*('Active Spells'!$E$4:$E$1005=$A24)*('Active Spells'!$F$4:$F$1005=C$2)*('Active Spells'!$D$4:$D$1005)),MAX((Feats!$C$4:$C$1005=$A24)*(Feats!$D$4:$D$1005=C$2)*(Feats!$B$4:$B$1005)),MAX((Equipment!$A$7:$A$1013=1)*(Equipment!$B$7:$B$1013=$A24)*(Equipment!$C$7:$C$1013=C$2)*(Equipment!$G$7:$G$1013)))</f>
        <v>0</v>
      </c>
      <c r="D24" s="8">
        <f t="array" ref="D24">MAX(MAX(('Active Spells'!$C$4:$C$1005=1)*('Active Spells'!$E$4:$E$1005=$A24)*('Active Spells'!$F$4:$F$1005=D$2)*('Active Spells'!$D$4:$D$1005)),MAX((Feats!$C$4:$C$1005=$A24)*(Feats!$D$4:$D$1005=D$2)*(Feats!$B$4:$B$1005)),MAX((Equipment!$A$7:$A$1013=1)*(Equipment!$B$7:$B$1013=$A24)*(Equipment!$C$7:$C$1013=D$2)*(Equipment!$G$7:$G$1013)))</f>
        <v>0</v>
      </c>
      <c r="E24" s="8">
        <f t="array" ref="E24">MAX(MAX(('Active Spells'!$C$4:$C$1005=1)*('Active Spells'!$E$4:$E$1005=$A24)*('Active Spells'!$F$4:$F$1005=E$2)*('Active Spells'!$D$4:$D$1005)),MAX((Feats!$C$4:$C$1005=$A24)*(Feats!$D$4:$D$1005=E$2)*(Feats!$B$4:$B$1005)),MAX((Equipment!$A$7:$A$1013=1)*(Equipment!$B$7:$B$1013=$A24)*(Equipment!$C$7:$C$1013=E$2)*(Equipment!$G$7:$G$1013)))</f>
        <v>0</v>
      </c>
      <c r="F24" s="8">
        <f t="array" ref="F24">MAX(MAX(('Active Spells'!$C$4:$C$1005=1)*('Active Spells'!$E$4:$E$1005=$A24)*('Active Spells'!$F$4:$F$1005=F$2)*('Active Spells'!$D$4:$D$1005)),MAX((Feats!$C$4:$C$1005=$A24)*(Feats!$D$4:$D$1005=F$2)*(Feats!$B$4:$B$1005)),MAX((Equipment!$A$7:$A$1013=1)*(Equipment!$B$7:$B$1013=$A24)*(Equipment!$C$7:$C$1013=F$2)*(Equipment!$G$7:$G$1013)))</f>
        <v>0</v>
      </c>
      <c r="G24" s="8">
        <f t="array" ref="G24">MAX(MAX(('Active Spells'!$C$4:$C$1005=1)*('Active Spells'!$E$4:$E$1005=$A24)*('Active Spells'!$F$4:$F$1005=G$2)*('Active Spells'!$D$4:$D$1005)),MAX((Feats!$C$4:$C$1005=$A24)*(Feats!$D$4:$D$1005=G$2)*(Feats!$B$4:$B$1005)),MAX((Equipment!$A$7:$A$1013=1)*(Equipment!$B$7:$B$1013=$A24)*(Equipment!$C$7:$C$1013=G$2)*(Equipment!$G$7:$G$1013)))</f>
        <v>0</v>
      </c>
      <c r="H24" s="8">
        <f t="array" ref="H24">MAX(MAX(('Active Spells'!$C$4:$C$1005=1)*('Active Spells'!$E$4:$E$1005=$A24)*('Active Spells'!$F$4:$F$1005=H$2)*('Active Spells'!$D$4:$D$1005)),MAX((Feats!$C$4:$C$1005=$A24)*(Feats!$D$4:$D$1005=H$2)*(Feats!$B$4:$B$1005)),MAX((Equipment!$A$7:$A$1013=1)*(Equipment!$B$7:$B$1013=$A24)*(Equipment!$C$7:$C$1013=H$2)*(Equipment!$G$7:$G$1013)))</f>
        <v>0</v>
      </c>
      <c r="I24" s="8">
        <f t="array" ref="I24">MAX(MAX(('Active Spells'!$C$4:$C$1005=1)*('Active Spells'!$E$4:$E$1005=$A24)*('Active Spells'!$F$4:$F$1005=I$2)*('Active Spells'!$D$4:$D$1005)),MAX((Feats!$C$4:$C$1005=$A24)*(Feats!$D$4:$D$1005=I$2)*(Feats!$B$4:$B$1005)),MAX((Equipment!$A$7:$A$1013=1)*(Equipment!$B$7:$B$1013=$A24)*(Equipment!$C$7:$C$1013=I$2)*(Equipment!$G$7:$G$1013)))</f>
        <v>0</v>
      </c>
      <c r="J24" s="8">
        <f t="array" ref="J24">MAX(MAX(('Active Spells'!$C$4:$C$1005=1)*('Active Spells'!$E$4:$E$1005=$A24)*('Active Spells'!$F$4:$F$1005=J$2)*('Active Spells'!$D$4:$D$1005)),MAX((Feats!$C$4:$C$1005=$A24)*(Feats!$D$4:$D$1005=J$2)*(Feats!$B$4:$B$1005)),MAX((Equipment!$A$7:$A$1013=1)*(Equipment!$B$7:$B$1013=$A24)*(Equipment!$C$7:$C$1013=J$2)*(Equipment!$G$7:$G$1013)))</f>
        <v>0</v>
      </c>
      <c r="K24" s="8">
        <f t="array" ref="K24">MAX(MAX(('Active Spells'!$C$4:$C$1005=1)*('Active Spells'!$E$4:$E$1005=$A24)*('Active Spells'!$F$4:$F$1005=K$2)*('Active Spells'!$D$4:$D$1005)),MAX((Feats!$C$4:$C$1005=$A24)*(Feats!$D$4:$D$1005=K$2)*(Feats!$B$4:$B$1005)),MAX((Equipment!$A$7:$A$1013=1)*(Equipment!$B$7:$B$1013=$A24)*(Equipment!$C$7:$C$1013=K$2)*(Equipment!$G$7:$G$1013)))</f>
        <v>0</v>
      </c>
      <c r="L24" s="8">
        <f t="array" ref="L24">MAX(MAX(('Active Spells'!$C$4:$C$1005=1)*('Active Spells'!$E$4:$E$1005=$A24)*('Active Spells'!$F$4:$F$1005=L$2)*('Active Spells'!$D$4:$D$1005)),MAX((Feats!$C$4:$C$1005=$A24)*(Feats!$D$4:$D$1005=L$2)*(Feats!$B$4:$B$1005)),MAX((Equipment!$A$7:$A$1013=1)*(Equipment!$B$7:$B$1013=$A24)*(Equipment!$C$7:$C$1013=L$2)*(Equipment!$G$7:$G$1013)))</f>
        <v>0</v>
      </c>
      <c r="M24" s="8">
        <f t="array" ref="M24">MAX(MAX(('Active Spells'!$C$4:$C$1005=1)*('Active Spells'!$E$4:$E$1005=$A24)*('Active Spells'!$F$4:$F$1005=M$2)*('Active Spells'!$D$4:$D$1005),('Active Spells'!$C$4:$C$1005=1)*('Active Spells'!$E$4:$E$1005=$A24)*('Active Spells'!$F$4:$F$1005="Saves")*('Active Spells'!$D$4:$D$1005)),MAX((Feats!$C$4:$C$1005=$A24)*(Feats!$D$4:$D$1005=M$2)*(Feats!$B$4:$B$1005),(Feats!$C$4:$C$1005=$A24)*(Feats!$D$4:$D$1005="Saves")*(Feats!$B$4:$B$1005)),MAX((Equipment!$A$7:$A$1013=1)*(Equipment!$B$7:$B$1013=$A24)*(Equipment!$C$7:$C$1013=M$2)*(Equipment!$G$7:$G$1013),(Equipment!$A$7:$A$1013=1)*(Equipment!$B$7:$B$1013=$A24)*(Equipment!$C$7:$C$1013="Saves")*(Equipment!$G$7:$G$1013)))</f>
        <v>0</v>
      </c>
      <c r="N24" s="8">
        <f t="array" ref="N24">MAX(MAX(('Active Spells'!$C$4:$C$1005=1)*('Active Spells'!$E$4:$E$1005=$A24)*('Active Spells'!$F$4:$F$1005=N$2)*('Active Spells'!$D$4:$D$1005),('Active Spells'!$C$4:$C$1005=1)*('Active Spells'!$E$4:$E$1005=$A24)*('Active Spells'!$F$4:$F$1005="Saves")*('Active Spells'!$D$4:$D$1005)),MAX((Feats!$C$4:$C$1005=$A24)*(Feats!$D$4:$D$1005=N$2)*(Feats!$B$4:$B$1005),(Feats!$C$4:$C$1005=$A24)*(Feats!$D$4:$D$1005="Saves")*(Feats!$B$4:$B$1005)),MAX((Equipment!$A$7:$A$1013=1)*(Equipment!$B$7:$B$1013=$A24)*(Equipment!$C$7:$C$1013=N$2)*(Equipment!$G$7:$G$1013),(Equipment!$A$7:$A$1013=1)*(Equipment!$B$7:$B$1013=$A24)*(Equipment!$C$7:$C$1013="Saves")*(Equipment!$G$7:$G$1013)))</f>
        <v>0</v>
      </c>
      <c r="O24" s="8">
        <f t="array" ref="O24">MAX(MAX(('Active Spells'!$C$4:$C$1005=1)*('Active Spells'!$E$4:$E$1005=$A24)*('Active Spells'!$F$4:$F$1005=O$2)*('Active Spells'!$D$4:$D$1005),('Active Spells'!$C$4:$C$1005=1)*('Active Spells'!$E$4:$E$1005=$A24)*('Active Spells'!$F$4:$F$1005="Saves")*('Active Spells'!$D$4:$D$1005)),MAX((Feats!$C$4:$C$1005=$A24)*(Feats!$D$4:$D$1005=O$2)*(Feats!$B$4:$B$1005),(Feats!$C$4:$C$1005=$A24)*(Feats!$D$4:$D$1005="Saves")*(Feats!$B$4:$B$1005)),MAX((Equipment!$A$7:$A$1013=1)*(Equipment!$B$7:$B$1013=$A24)*(Equipment!$C$7:$C$1013=O$2)*(Equipment!$G$7:$G$1013),(Equipment!$A$7:$A$1013=1)*(Equipment!$B$7:$B$1013=$A24)*(Equipment!$C$7:$C$1013="Saves")*(Equipment!$G$7:$G$1013)))</f>
        <v>0</v>
      </c>
      <c r="P24" s="8">
        <f t="array" ref="P24">MAX(MAX(('Active Spells'!$C$4:$C$1005=1)*('Active Spells'!$E$4:$E$1005=$A24)*('Active Spells'!$F$4:$F$1005=P$2)*('Active Spells'!$D$4:$D$1005)),MAX((Feats!$C$4:$C$1005=$A24)*(Feats!$D$4:$D$1005=P$2)*(Feats!$B$4:$B$1005)),MAX((Equipment!$A$7:$A$1013=1)*(Equipment!$B$7:$B$1013=$A24)*(Equipment!$C$7:$C$1013=P$2)*(Equipment!$G$7:$G$1013)))</f>
        <v>0</v>
      </c>
      <c r="Q24" s="8">
        <f t="array" ref="Q24">MAX(MAX(('Active Spells'!$C$4:$C$1005=1)*('Active Spells'!$E$4:$E$1005=$A24)*('Active Spells'!$F$4:$F$1005=Q$2)*('Active Spells'!$D$4:$D$1005)),MAX((Feats!$C$4:$C$1005=$A24)*(Feats!$D$4:$D$1005=Q$2)*(Feats!$B$4:$B$1005)),MAX((Equipment!$A$7:$A$1013=1)*(Equipment!$B$7:$B$1013=$A24)*(Equipment!$C$7:$C$1013=Q$2)*(Equipment!$G$7:$G$1013)))</f>
        <v>0</v>
      </c>
      <c r="R24" s="8">
        <f t="array" ref="R24">MAX(MAX(('Active Spells'!$C$4:$C$1005=1)*('Active Spells'!$E$4:$E$1005=$A24)*('Active Spells'!$F$4:$F$1005=R$2)*('Active Spells'!$D$4:$D$1005)),MAX((Feats!$C$4:$C$1005=$A24)*(Feats!$D$4:$D$1005=R$2)*(Feats!$B$4:$B$1005)),MAX((Equipment!$A$7:$A$1013=1)*(Equipment!$B$7:$B$1013=$A24)*(Equipment!$C$7:$C$1013=R$2)*(Equipment!$G$7:$G$1013)))</f>
        <v>0</v>
      </c>
      <c r="S24" s="8">
        <f t="array" ref="S24">MAX(MAX(('Active Spells'!$C$4:$C$1005=1)*('Active Spells'!$E$4:$E$1005=$A24)*('Active Spells'!$F$4:$F$1005=S$2)*('Active Spells'!$D$4:$D$1005)),MAX((Feats!$C$4:$C$1005=$A24)*(Feats!$D$4:$D$1005=S$2)*(Feats!$B$4:$B$1005)),MAX((Equipment!$A$7:$A$1013=1)*(Equipment!$B$7:$B$1013=$A24)*(Equipment!$C$7:$C$1013=S$2)*(Equipment!$G$7:$G$1013)))</f>
        <v>0</v>
      </c>
      <c r="T24" s="8">
        <f t="array" ref="T24">MAX(MAX(('Active Spells'!$C$4:$C$1005=1)*('Active Spells'!$E$4:$E$1005=$A24)*('Active Spells'!$F$4:$F$1005=T$2)*('Active Spells'!$D$4:$D$1005)),MAX((Feats!$C$4:$C$1005=$A24)*(Feats!$D$4:$D$1005=T$2)*(Feats!$B$4:$B$1005)),MAX((Equipment!$A$7:$A$1013=1)*(Equipment!$B$7:$B$1013=$A24)*(Equipment!$C$7:$C$1013=T$2)*(Equipment!$G$7:$G$1013)))</f>
        <v>0</v>
      </c>
      <c r="U24" s="8">
        <f t="array" ref="U24">MAX(MAX(('Active Spells'!$C$4:$C$1005=1)*('Active Spells'!$E$4:$E$1005=$A24)*('Active Spells'!$F$4:$F$1005=U$2)*('Active Spells'!$D$4:$D$1005)),MAX((Feats!$C$4:$C$1005=$A24)*(Feats!$D$4:$D$1005=U$2)*(Feats!$B$4:$B$1005)),MAX((Equipment!$A$7:$A$1013=1)*(Equipment!$B$7:$B$1013=$A24)*(Equipment!$C$7:$C$1013=U$2)*(Equipment!$G$7:$G$1013)))</f>
        <v>0</v>
      </c>
      <c r="V24" s="8">
        <f t="array" ref="V24">MAX(MAX(('Active Spells'!$C$4:$C$1005=1)*('Active Spells'!$E$4:$E$1005=$A24)*('Active Spells'!$F$4:$F$1005=V$2)*('Active Spells'!$D$4:$D$1005)),MAX((Feats!$C$4:$C$1005=$A24)*(Feats!$D$4:$D$1005=V$2)*(Feats!$B$4:$B$1005)),MAX((Equipment!$A$7:$A$1013=1)*(Equipment!$B$7:$B$1013=$A24)*(Equipment!$C$7:$C$1013=V$2)*(Equipment!$G$7:$G$1013)))</f>
        <v>0</v>
      </c>
      <c r="W24" s="8">
        <f t="array" ref="W24">MAX(MAX(('Active Spells'!$C$4:$C$1005=1)*('Active Spells'!$E$4:$E$1005=$A24)*('Active Spells'!$F$4:$F$1005=W$2)*('Active Spells'!$D$4:$D$1005)),MAX((Feats!$C$4:$C$1005=$A24)*(Feats!$D$4:$D$1005=W$2)*(Feats!$B$4:$B$1005)),MAX((Equipment!$A$7:$A$1013=1)*(Equipment!$B$7:$B$1013=$A24)*(Equipment!$C$7:$C$1013=W$2)*(Equipment!$G$7:$G$1013)))</f>
        <v>0</v>
      </c>
      <c r="X24" s="8">
        <f t="array" ref="X24">MAX(MAX(('Active Spells'!$C$4:$C$1005=1)*('Active Spells'!$E$4:$E$1005=$A24)*('Active Spells'!$F$4:$F$1005=X$2)*('Active Spells'!$D$4:$D$1005)),MAX((Feats!$C$4:$C$1005=$A24)*(Feats!$D$4:$D$1005=X$2)*(Feats!$B$4:$B$1005)),MAX((Equipment!$A$7:$A$1013=1)*(Equipment!$B$7:$B$1013=$A24)*(Equipment!$C$7:$C$1013=X$2)*(Equipment!$G$7:$G$1013)))</f>
        <v>0</v>
      </c>
      <c r="Y24" s="8">
        <f t="array" ref="Y24">MAX(MAX(('Active Spells'!$C$4:$C$1005=1)*('Active Spells'!$E$4:$E$1005=$A24)*('Active Spells'!$F$4:$F$1005=Y$2)*('Active Spells'!$D$4:$D$1005)),MAX((Feats!$C$4:$C$1005=$A24)*(Feats!$D$4:$D$1005=Y$2)*(Feats!$B$4:$B$1005)),MAX((Equipment!$A$7:$A$1013=1)*(Equipment!$B$7:$B$1013=$A24)*(Equipment!$C$7:$C$1013=Y$2)*(Equipment!$G$7:$G$1013)))</f>
        <v>0</v>
      </c>
      <c r="Z24" s="8">
        <f t="array" ref="Z24">MAX(MAX(('Active Spells'!$C$4:$C$1005=1)*('Active Spells'!$E$4:$E$1005=$A24)*('Active Spells'!$F$4:$F$1005=Z$2)*('Active Spells'!$D$4:$D$1005)),MAX((Feats!$C$4:$C$1005=$A24)*(Feats!$D$4:$D$1005=Z$2)*(Feats!$B$4:$B$1005)),MAX((Equipment!$A$7:$A$1013=1)*(Equipment!$B$7:$B$1013=$A24)*(Equipment!$C$7:$C$1013=Z$2)*(Equipment!$G$7:$G$1013)))</f>
        <v>0</v>
      </c>
      <c r="AA24" s="8">
        <f t="array" ref="AA24">MAX(MAX(('Active Spells'!$C$4:$C$1005=1)*('Active Spells'!$E$4:$E$1005=$A24)*('Active Spells'!$F$4:$F$1005=AA$2)*('Active Spells'!$D$4:$D$1005)),MAX((Feats!$C$4:$C$1005=$A24)*(Feats!$D$4:$D$1005=AA$2)*(Feats!$B$4:$B$1005)),MAX((Equipment!$A$7:$A$1013=1)*(Equipment!$B$7:$B$1013=$A24)*(Equipment!$C$7:$C$1013=AA$2)*(Equipment!$G$7:$G$1013)))</f>
        <v>0</v>
      </c>
    </row>
    <row r="25" spans="1:27" x14ac:dyDescent="0.2">
      <c r="A25" s="5" t="s">
        <v>357</v>
      </c>
      <c r="B25" s="8">
        <f t="array" ref="B25">MAX(MAX(('Active Spells'!$C$4:$C$1005=1)*('Active Spells'!$E$4:$E$1005=$A25)*('Active Spells'!$F$4:$F$1005=B$2)*('Active Spells'!$D$4:$D$1005)),MAX((Feats!$C$4:$C$1005=$A25)*(Feats!$D$4:$D$1005=B$2)*(Feats!$B$4:$B$1005)),MAX((Equipment!$A$7:$A$1013=1)*(Equipment!$B$7:$B$1013=$A25)*(Equipment!$C$7:$C$1013=B$2)*(Equipment!$G$7:$G$1013)))</f>
        <v>0</v>
      </c>
      <c r="C25" s="8">
        <f t="array" ref="C25">MAX(MAX(('Active Spells'!$C$4:$C$1005=1)*('Active Spells'!$E$4:$E$1005=$A25)*('Active Spells'!$F$4:$F$1005=C$2)*('Active Spells'!$D$4:$D$1005)),MAX((Feats!$C$4:$C$1005=$A25)*(Feats!$D$4:$D$1005=C$2)*(Feats!$B$4:$B$1005)),MAX((Equipment!$A$7:$A$1013=1)*(Equipment!$B$7:$B$1013=$A25)*(Equipment!$C$7:$C$1013=C$2)*(Equipment!$G$7:$G$1013)))</f>
        <v>0</v>
      </c>
      <c r="D25" s="8">
        <f t="array" ref="D25">MAX(MAX(('Active Spells'!$C$4:$C$1005=1)*('Active Spells'!$E$4:$E$1005=$A25)*('Active Spells'!$F$4:$F$1005=D$2)*('Active Spells'!$D$4:$D$1005)),MAX((Feats!$C$4:$C$1005=$A25)*(Feats!$D$4:$D$1005=D$2)*(Feats!$B$4:$B$1005)),MAX((Equipment!$A$7:$A$1013=1)*(Equipment!$B$7:$B$1013=$A25)*(Equipment!$C$7:$C$1013=D$2)*(Equipment!$G$7:$G$1013)))</f>
        <v>0</v>
      </c>
      <c r="E25" s="8">
        <f t="array" ref="E25">MAX(MAX(('Active Spells'!$C$4:$C$1005=1)*('Active Spells'!$E$4:$E$1005=$A25)*('Active Spells'!$F$4:$F$1005=E$2)*('Active Spells'!$D$4:$D$1005)),MAX((Feats!$C$4:$C$1005=$A25)*(Feats!$D$4:$D$1005=E$2)*(Feats!$B$4:$B$1005)),MAX((Equipment!$A$7:$A$1013=1)*(Equipment!$B$7:$B$1013=$A25)*(Equipment!$C$7:$C$1013=E$2)*(Equipment!$G$7:$G$1013)))</f>
        <v>0</v>
      </c>
      <c r="F25" s="8">
        <f t="array" ref="F25">MAX(MAX(('Active Spells'!$C$4:$C$1005=1)*('Active Spells'!$E$4:$E$1005=$A25)*('Active Spells'!$F$4:$F$1005=F$2)*('Active Spells'!$D$4:$D$1005)),MAX((Feats!$C$4:$C$1005=$A25)*(Feats!$D$4:$D$1005=F$2)*(Feats!$B$4:$B$1005)),MAX((Equipment!$A$7:$A$1013=1)*(Equipment!$B$7:$B$1013=$A25)*(Equipment!$C$7:$C$1013=F$2)*(Equipment!$G$7:$G$1013)))</f>
        <v>0</v>
      </c>
      <c r="G25" s="8">
        <f t="array" ref="G25">MAX(MAX(('Active Spells'!$C$4:$C$1005=1)*('Active Spells'!$E$4:$E$1005=$A25)*('Active Spells'!$F$4:$F$1005=G$2)*('Active Spells'!$D$4:$D$1005)),MAX((Feats!$C$4:$C$1005=$A25)*(Feats!$D$4:$D$1005=G$2)*(Feats!$B$4:$B$1005)),MAX((Equipment!$A$7:$A$1013=1)*(Equipment!$B$7:$B$1013=$A25)*(Equipment!$C$7:$C$1013=G$2)*(Equipment!$G$7:$G$1013)))</f>
        <v>0</v>
      </c>
      <c r="H25" s="8">
        <f t="array" ref="H25">MAX(MAX(('Active Spells'!$C$4:$C$1005=1)*('Active Spells'!$E$4:$E$1005=$A25)*('Active Spells'!$F$4:$F$1005=H$2)*('Active Spells'!$D$4:$D$1005)),MAX((Feats!$C$4:$C$1005=$A25)*(Feats!$D$4:$D$1005=H$2)*(Feats!$B$4:$B$1005)),MAX((Equipment!$A$7:$A$1013=1)*(Equipment!$B$7:$B$1013=$A25)*(Equipment!$C$7:$C$1013=H$2)*(Equipment!$G$7:$G$1013)))</f>
        <v>2</v>
      </c>
      <c r="I25" s="8">
        <f t="array" ref="I25">MAX(MAX(('Active Spells'!$C$4:$C$1005=1)*('Active Spells'!$E$4:$E$1005=$A25)*('Active Spells'!$F$4:$F$1005=I$2)*('Active Spells'!$D$4:$D$1005)),MAX((Feats!$C$4:$C$1005=$A25)*(Feats!$D$4:$D$1005=I$2)*(Feats!$B$4:$B$1005)),MAX((Equipment!$A$7:$A$1013=1)*(Equipment!$B$7:$B$1013=$A25)*(Equipment!$C$7:$C$1013=I$2)*(Equipment!$G$7:$G$1013)))</f>
        <v>0</v>
      </c>
      <c r="J25" s="8">
        <f t="array" ref="J25">MAX(MAX(('Active Spells'!$C$4:$C$1005=1)*('Active Spells'!$E$4:$E$1005=$A25)*('Active Spells'!$F$4:$F$1005=J$2)*('Active Spells'!$D$4:$D$1005)),MAX((Feats!$C$4:$C$1005=$A25)*(Feats!$D$4:$D$1005=J$2)*(Feats!$B$4:$B$1005)),MAX((Equipment!$A$7:$A$1013=1)*(Equipment!$B$7:$B$1013=$A25)*(Equipment!$C$7:$C$1013=J$2)*(Equipment!$G$7:$G$1013)))</f>
        <v>0</v>
      </c>
      <c r="K25" s="8">
        <f t="array" ref="K25">MAX(MAX(('Active Spells'!$C$4:$C$1005=1)*('Active Spells'!$E$4:$E$1005=$A25)*('Active Spells'!$F$4:$F$1005=K$2)*('Active Spells'!$D$4:$D$1005)),MAX((Feats!$C$4:$C$1005=$A25)*(Feats!$D$4:$D$1005=K$2)*(Feats!$B$4:$B$1005)),MAX((Equipment!$A$7:$A$1013=1)*(Equipment!$B$7:$B$1013=$A25)*(Equipment!$C$7:$C$1013=K$2)*(Equipment!$G$7:$G$1013)))</f>
        <v>0</v>
      </c>
      <c r="L25" s="8">
        <f t="array" ref="L25">MAX(MAX(('Active Spells'!$C$4:$C$1005=1)*('Active Spells'!$E$4:$E$1005=$A25)*('Active Spells'!$F$4:$F$1005=L$2)*('Active Spells'!$D$4:$D$1005)),MAX((Feats!$C$4:$C$1005=$A25)*(Feats!$D$4:$D$1005=L$2)*(Feats!$B$4:$B$1005)),MAX((Equipment!$A$7:$A$1013=1)*(Equipment!$B$7:$B$1013=$A25)*(Equipment!$C$7:$C$1013=L$2)*(Equipment!$G$7:$G$1013)))</f>
        <v>0</v>
      </c>
      <c r="M25" s="8">
        <f t="array" ref="M25">MAX(MAX(('Active Spells'!$C$4:$C$1005=1)*('Active Spells'!$E$4:$E$1005=$A25)*('Active Spells'!$F$4:$F$1005=M$2)*('Active Spells'!$D$4:$D$1005),('Active Spells'!$C$4:$C$1005=1)*('Active Spells'!$E$4:$E$1005=$A25)*('Active Spells'!$F$4:$F$1005="Saves")*('Active Spells'!$D$4:$D$1005)),MAX((Feats!$C$4:$C$1005=$A25)*(Feats!$D$4:$D$1005=M$2)*(Feats!$B$4:$B$1005),(Feats!$C$4:$C$1005=$A25)*(Feats!$D$4:$D$1005="Saves")*(Feats!$B$4:$B$1005)),MAX((Equipment!$A$7:$A$1013=1)*(Equipment!$B$7:$B$1013=$A25)*(Equipment!$C$7:$C$1013=M$2)*(Equipment!$G$7:$G$1013),(Equipment!$A$7:$A$1013=1)*(Equipment!$B$7:$B$1013=$A25)*(Equipment!$C$7:$C$1013="Saves")*(Equipment!$G$7:$G$1013)))</f>
        <v>0</v>
      </c>
      <c r="N25" s="8">
        <f t="array" ref="N25">MAX(MAX(('Active Spells'!$C$4:$C$1005=1)*('Active Spells'!$E$4:$E$1005=$A25)*('Active Spells'!$F$4:$F$1005=N$2)*('Active Spells'!$D$4:$D$1005),('Active Spells'!$C$4:$C$1005=1)*('Active Spells'!$E$4:$E$1005=$A25)*('Active Spells'!$F$4:$F$1005="Saves")*('Active Spells'!$D$4:$D$1005)),MAX((Feats!$C$4:$C$1005=$A25)*(Feats!$D$4:$D$1005=N$2)*(Feats!$B$4:$B$1005),(Feats!$C$4:$C$1005=$A25)*(Feats!$D$4:$D$1005="Saves")*(Feats!$B$4:$B$1005)),MAX((Equipment!$A$7:$A$1013=1)*(Equipment!$B$7:$B$1013=$A25)*(Equipment!$C$7:$C$1013=N$2)*(Equipment!$G$7:$G$1013),(Equipment!$A$7:$A$1013=1)*(Equipment!$B$7:$B$1013=$A25)*(Equipment!$C$7:$C$1013="Saves")*(Equipment!$G$7:$G$1013)))</f>
        <v>0</v>
      </c>
      <c r="O25" s="8">
        <f t="array" ref="O25">MAX(MAX(('Active Spells'!$C$4:$C$1005=1)*('Active Spells'!$E$4:$E$1005=$A25)*('Active Spells'!$F$4:$F$1005=O$2)*('Active Spells'!$D$4:$D$1005),('Active Spells'!$C$4:$C$1005=1)*('Active Spells'!$E$4:$E$1005=$A25)*('Active Spells'!$F$4:$F$1005="Saves")*('Active Spells'!$D$4:$D$1005)),MAX((Feats!$C$4:$C$1005=$A25)*(Feats!$D$4:$D$1005=O$2)*(Feats!$B$4:$B$1005),(Feats!$C$4:$C$1005=$A25)*(Feats!$D$4:$D$1005="Saves")*(Feats!$B$4:$B$1005)),MAX((Equipment!$A$7:$A$1013=1)*(Equipment!$B$7:$B$1013=$A25)*(Equipment!$C$7:$C$1013=O$2)*(Equipment!$G$7:$G$1013),(Equipment!$A$7:$A$1013=1)*(Equipment!$B$7:$B$1013=$A25)*(Equipment!$C$7:$C$1013="Saves")*(Equipment!$G$7:$G$1013)))</f>
        <v>0</v>
      </c>
      <c r="P25" s="8">
        <f t="array" ref="P25">MAX(MAX(('Active Spells'!$C$4:$C$1005=1)*('Active Spells'!$E$4:$E$1005=$A25)*('Active Spells'!$F$4:$F$1005=P$2)*('Active Spells'!$D$4:$D$1005)),MAX((Feats!$C$4:$C$1005=$A25)*(Feats!$D$4:$D$1005=P$2)*(Feats!$B$4:$B$1005)),MAX((Equipment!$A$7:$A$1013=1)*(Equipment!$B$7:$B$1013=$A25)*(Equipment!$C$7:$C$1013=P$2)*(Equipment!$G$7:$G$1013)))</f>
        <v>0</v>
      </c>
      <c r="Q25" s="8">
        <f t="array" ref="Q25">MAX(MAX(('Active Spells'!$C$4:$C$1005=1)*('Active Spells'!$E$4:$E$1005=$A25)*('Active Spells'!$F$4:$F$1005=Q$2)*('Active Spells'!$D$4:$D$1005)),MAX((Feats!$C$4:$C$1005=$A25)*(Feats!$D$4:$D$1005=Q$2)*(Feats!$B$4:$B$1005)),MAX((Equipment!$A$7:$A$1013=1)*(Equipment!$B$7:$B$1013=$A25)*(Equipment!$C$7:$C$1013=Q$2)*(Equipment!$G$7:$G$1013)))</f>
        <v>0</v>
      </c>
      <c r="R25" s="8">
        <f t="array" ref="R25">MAX(MAX(('Active Spells'!$C$4:$C$1005=1)*('Active Spells'!$E$4:$E$1005=$A25)*('Active Spells'!$F$4:$F$1005=R$2)*('Active Spells'!$D$4:$D$1005)),MAX((Feats!$C$4:$C$1005=$A25)*(Feats!$D$4:$D$1005=R$2)*(Feats!$B$4:$B$1005)),MAX((Equipment!$A$7:$A$1013=1)*(Equipment!$B$7:$B$1013=$A25)*(Equipment!$C$7:$C$1013=R$2)*(Equipment!$G$7:$G$1013)))</f>
        <v>0</v>
      </c>
      <c r="S25" s="8">
        <f t="array" ref="S25">MAX(MAX(('Active Spells'!$C$4:$C$1005=1)*('Active Spells'!$E$4:$E$1005=$A25)*('Active Spells'!$F$4:$F$1005=S$2)*('Active Spells'!$D$4:$D$1005)),MAX((Feats!$C$4:$C$1005=$A25)*(Feats!$D$4:$D$1005=S$2)*(Feats!$B$4:$B$1005)),MAX((Equipment!$A$7:$A$1013=1)*(Equipment!$B$7:$B$1013=$A25)*(Equipment!$C$7:$C$1013=S$2)*(Equipment!$G$7:$G$1013)))</f>
        <v>0</v>
      </c>
      <c r="T25" s="8">
        <f t="array" ref="T25">MAX(MAX(('Active Spells'!$C$4:$C$1005=1)*('Active Spells'!$E$4:$E$1005=$A25)*('Active Spells'!$F$4:$F$1005=T$2)*('Active Spells'!$D$4:$D$1005)),MAX((Feats!$C$4:$C$1005=$A25)*(Feats!$D$4:$D$1005=T$2)*(Feats!$B$4:$B$1005)),MAX((Equipment!$A$7:$A$1013=1)*(Equipment!$B$7:$B$1013=$A25)*(Equipment!$C$7:$C$1013=T$2)*(Equipment!$G$7:$G$1013)))</f>
        <v>0</v>
      </c>
      <c r="U25" s="8">
        <f t="array" ref="U25">MAX(MAX(('Active Spells'!$C$4:$C$1005=1)*('Active Spells'!$E$4:$E$1005=$A25)*('Active Spells'!$F$4:$F$1005=U$2)*('Active Spells'!$D$4:$D$1005)),MAX((Feats!$C$4:$C$1005=$A25)*(Feats!$D$4:$D$1005=U$2)*(Feats!$B$4:$B$1005)),MAX((Equipment!$A$7:$A$1013=1)*(Equipment!$B$7:$B$1013=$A25)*(Equipment!$C$7:$C$1013=U$2)*(Equipment!$G$7:$G$1013)))</f>
        <v>0</v>
      </c>
      <c r="V25" s="8">
        <f t="array" ref="V25">MAX(MAX(('Active Spells'!$C$4:$C$1005=1)*('Active Spells'!$E$4:$E$1005=$A25)*('Active Spells'!$F$4:$F$1005=V$2)*('Active Spells'!$D$4:$D$1005)),MAX((Feats!$C$4:$C$1005=$A25)*(Feats!$D$4:$D$1005=V$2)*(Feats!$B$4:$B$1005)),MAX((Equipment!$A$7:$A$1013=1)*(Equipment!$B$7:$B$1013=$A25)*(Equipment!$C$7:$C$1013=V$2)*(Equipment!$G$7:$G$1013)))</f>
        <v>0</v>
      </c>
      <c r="W25" s="8">
        <f t="array" ref="W25">MAX(MAX(('Active Spells'!$C$4:$C$1005=1)*('Active Spells'!$E$4:$E$1005=$A25)*('Active Spells'!$F$4:$F$1005=W$2)*('Active Spells'!$D$4:$D$1005)),MAX((Feats!$C$4:$C$1005=$A25)*(Feats!$D$4:$D$1005=W$2)*(Feats!$B$4:$B$1005)),MAX((Equipment!$A$7:$A$1013=1)*(Equipment!$B$7:$B$1013=$A25)*(Equipment!$C$7:$C$1013=W$2)*(Equipment!$G$7:$G$1013)))</f>
        <v>0</v>
      </c>
      <c r="X25" s="8">
        <f t="array" ref="X25">MAX(MAX(('Active Spells'!$C$4:$C$1005=1)*('Active Spells'!$E$4:$E$1005=$A25)*('Active Spells'!$F$4:$F$1005=X$2)*('Active Spells'!$D$4:$D$1005)),MAX((Feats!$C$4:$C$1005=$A25)*(Feats!$D$4:$D$1005=X$2)*(Feats!$B$4:$B$1005)),MAX((Equipment!$A$7:$A$1013=1)*(Equipment!$B$7:$B$1013=$A25)*(Equipment!$C$7:$C$1013=X$2)*(Equipment!$G$7:$G$1013)))</f>
        <v>0</v>
      </c>
      <c r="Y25" s="8">
        <f t="array" ref="Y25">MAX(MAX(('Active Spells'!$C$4:$C$1005=1)*('Active Spells'!$E$4:$E$1005=$A25)*('Active Spells'!$F$4:$F$1005=Y$2)*('Active Spells'!$D$4:$D$1005)),MAX((Feats!$C$4:$C$1005=$A25)*(Feats!$D$4:$D$1005=Y$2)*(Feats!$B$4:$B$1005)),MAX((Equipment!$A$7:$A$1013=1)*(Equipment!$B$7:$B$1013=$A25)*(Equipment!$C$7:$C$1013=Y$2)*(Equipment!$G$7:$G$1013)))</f>
        <v>0</v>
      </c>
      <c r="Z25" s="8">
        <f t="array" ref="Z25">MAX(MAX(('Active Spells'!$C$4:$C$1005=1)*('Active Spells'!$E$4:$E$1005=$A25)*('Active Spells'!$F$4:$F$1005=Z$2)*('Active Spells'!$D$4:$D$1005)),MAX((Feats!$C$4:$C$1005=$A25)*(Feats!$D$4:$D$1005=Z$2)*(Feats!$B$4:$B$1005)),MAX((Equipment!$A$7:$A$1013=1)*(Equipment!$B$7:$B$1013=$A25)*(Equipment!$C$7:$C$1013=Z$2)*(Equipment!$G$7:$G$1013)))</f>
        <v>0</v>
      </c>
      <c r="AA25" s="8">
        <f t="array" ref="AA25">MAX(MAX(('Active Spells'!$C$4:$C$1005=1)*('Active Spells'!$E$4:$E$1005=$A25)*('Active Spells'!$F$4:$F$1005=AA$2)*('Active Spells'!$D$4:$D$1005)),MAX((Feats!$C$4:$C$1005=$A25)*(Feats!$D$4:$D$1005=AA$2)*(Feats!$B$4:$B$1005)),MAX((Equipment!$A$7:$A$1013=1)*(Equipment!$B$7:$B$1013=$A25)*(Equipment!$C$7:$C$1013=AA$2)*(Equipment!$G$7:$G$1013)))</f>
        <v>0</v>
      </c>
    </row>
    <row r="26" spans="1:27" x14ac:dyDescent="0.2">
      <c r="A26" s="6" t="s">
        <v>276</v>
      </c>
      <c r="B26" s="8">
        <f t="array" ref="B26">MAX(MAX(('Active Spells'!$C$4:$C$1005=1)*('Active Spells'!$E$4:$E$1005=$A26)*('Active Spells'!$F$4:$F$1005=B$2)*('Active Spells'!$D$4:$D$1005)),MAX((Feats!$C$4:$C$1005=$A26)*(Feats!$D$4:$D$1005=B$2)*(Feats!$B$4:$B$1005)),MAX((Equipment!$A$7:$A$1013=1)*(Equipment!$B$7:$B$1013=$A26)*(Equipment!$C$7:$C$1013=B$2)*(Equipment!$G$7:$G$1013)))</f>
        <v>0</v>
      </c>
      <c r="C26" s="8">
        <f t="array" ref="C26">MAX(MAX(('Active Spells'!$C$4:$C$1005=1)*('Active Spells'!$E$4:$E$1005=$A26)*('Active Spells'!$F$4:$F$1005=C$2)*('Active Spells'!$D$4:$D$1005)),MAX((Feats!$C$4:$C$1005=$A26)*(Feats!$D$4:$D$1005=C$2)*(Feats!$B$4:$B$1005)),MAX((Equipment!$A$7:$A$1013=1)*(Equipment!$B$7:$B$1013=$A26)*(Equipment!$C$7:$C$1013=C$2)*(Equipment!$G$7:$G$1013)))</f>
        <v>0</v>
      </c>
      <c r="D26" s="8">
        <f t="array" ref="D26">MAX(MAX(('Active Spells'!$C$4:$C$1005=1)*('Active Spells'!$E$4:$E$1005=$A26)*('Active Spells'!$F$4:$F$1005=D$2)*('Active Spells'!$D$4:$D$1005)),MAX((Feats!$C$4:$C$1005=$A26)*(Feats!$D$4:$D$1005=D$2)*(Feats!$B$4:$B$1005)),MAX((Equipment!$A$7:$A$1013=1)*(Equipment!$B$7:$B$1013=$A26)*(Equipment!$C$7:$C$1013=D$2)*(Equipment!$G$7:$G$1013)))</f>
        <v>0</v>
      </c>
      <c r="E26" s="8">
        <f t="array" ref="E26">MAX(MAX(('Active Spells'!$C$4:$C$1005=1)*('Active Spells'!$E$4:$E$1005=$A26)*('Active Spells'!$F$4:$F$1005=E$2)*('Active Spells'!$D$4:$D$1005)),MAX((Feats!$C$4:$C$1005=$A26)*(Feats!$D$4:$D$1005=E$2)*(Feats!$B$4:$B$1005)),MAX((Equipment!$A$7:$A$1013=1)*(Equipment!$B$7:$B$1013=$A26)*(Equipment!$C$7:$C$1013=E$2)*(Equipment!$G$7:$G$1013)))</f>
        <v>0</v>
      </c>
      <c r="F26" s="8">
        <f t="array" ref="F26">MAX(MAX(('Active Spells'!$C$4:$C$1005=1)*('Active Spells'!$E$4:$E$1005=$A26)*('Active Spells'!$F$4:$F$1005=F$2)*('Active Spells'!$D$4:$D$1005)),MAX((Feats!$C$4:$C$1005=$A26)*(Feats!$D$4:$D$1005=F$2)*(Feats!$B$4:$B$1005)),MAX((Equipment!$A$7:$A$1013=1)*(Equipment!$B$7:$B$1013=$A26)*(Equipment!$C$7:$C$1013=F$2)*(Equipment!$G$7:$G$1013)))</f>
        <v>0</v>
      </c>
      <c r="G26" s="8">
        <f t="array" ref="G26">MAX(MAX(('Active Spells'!$C$4:$C$1005=1)*('Active Spells'!$E$4:$E$1005=$A26)*('Active Spells'!$F$4:$F$1005=G$2)*('Active Spells'!$D$4:$D$1005)),MAX((Feats!$C$4:$C$1005=$A26)*(Feats!$D$4:$D$1005=G$2)*(Feats!$B$4:$B$1005)),MAX((Equipment!$A$7:$A$1013=1)*(Equipment!$B$7:$B$1013=$A26)*(Equipment!$C$7:$C$1013=G$2)*(Equipment!$G$7:$G$1013)))</f>
        <v>0</v>
      </c>
      <c r="H26" s="8">
        <f t="array" ref="H26">MAX(MAX(('Active Spells'!$C$4:$C$1005=1)*('Active Spells'!$E$4:$E$1005=$A26)*('Active Spells'!$F$4:$F$1005=H$2)*('Active Spells'!$D$4:$D$1005)),MAX((Feats!$C$4:$C$1005=$A26)*(Feats!$D$4:$D$1005=H$2)*(Feats!$B$4:$B$1005)),MAX((Equipment!$A$7:$A$1013=1)*(Equipment!$B$7:$B$1013=$A26)*(Equipment!$C$7:$C$1013=H$2)*(Equipment!$G$7:$G$1013)))</f>
        <v>1</v>
      </c>
      <c r="I26" s="8">
        <f t="array" ref="I26">MAX(MAX(('Active Spells'!$C$4:$C$1005=1)*('Active Spells'!$E$4:$E$1005=$A26)*('Active Spells'!$F$4:$F$1005=I$2)*('Active Spells'!$D$4:$D$1005)),MAX((Feats!$C$4:$C$1005=$A26)*(Feats!$D$4:$D$1005=I$2)*(Feats!$B$4:$B$1005)),MAX((Equipment!$A$7:$A$1013=1)*(Equipment!$B$7:$B$1013=$A26)*(Equipment!$C$7:$C$1013=I$2)*(Equipment!$G$7:$G$1013)))</f>
        <v>0</v>
      </c>
      <c r="J26" s="8">
        <f t="array" ref="J26">MAX(MAX(('Active Spells'!$C$4:$C$1005=1)*('Active Spells'!$E$4:$E$1005=$A26)*('Active Spells'!$F$4:$F$1005=J$2)*('Active Spells'!$D$4:$D$1005)),MAX((Feats!$C$4:$C$1005=$A26)*(Feats!$D$4:$D$1005=J$2)*(Feats!$B$4:$B$1005)),MAX((Equipment!$A$7:$A$1013=1)*(Equipment!$B$7:$B$1013=$A26)*(Equipment!$C$7:$C$1013=J$2)*(Equipment!$G$7:$G$1013)))</f>
        <v>0</v>
      </c>
      <c r="K26" s="8">
        <f t="array" ref="K26">MAX(MAX(('Active Spells'!$C$4:$C$1005=1)*('Active Spells'!$E$4:$E$1005=$A26)*('Active Spells'!$F$4:$F$1005=K$2)*('Active Spells'!$D$4:$D$1005)),MAX((Feats!$C$4:$C$1005=$A26)*(Feats!$D$4:$D$1005=K$2)*(Feats!$B$4:$B$1005)),MAX((Equipment!$A$7:$A$1013=1)*(Equipment!$B$7:$B$1013=$A26)*(Equipment!$C$7:$C$1013=K$2)*(Equipment!$G$7:$G$1013)))</f>
        <v>0</v>
      </c>
      <c r="L26" s="8">
        <f t="array" ref="L26">MAX(MAX(('Active Spells'!$C$4:$C$1005=1)*('Active Spells'!$E$4:$E$1005=$A26)*('Active Spells'!$F$4:$F$1005=L$2)*('Active Spells'!$D$4:$D$1005)),MAX((Feats!$C$4:$C$1005=$A26)*(Feats!$D$4:$D$1005=L$2)*(Feats!$B$4:$B$1005)),MAX((Equipment!$A$7:$A$1013=1)*(Equipment!$B$7:$B$1013=$A26)*(Equipment!$C$7:$C$1013=L$2)*(Equipment!$G$7:$G$1013)))</f>
        <v>0</v>
      </c>
      <c r="M26" s="8">
        <f t="array" ref="M26">MAX(MAX(('Active Spells'!$C$4:$C$1005=1)*('Active Spells'!$E$4:$E$1005=$A26)*('Active Spells'!$F$4:$F$1005=M$2)*('Active Spells'!$D$4:$D$1005),('Active Spells'!$C$4:$C$1005=1)*('Active Spells'!$E$4:$E$1005=$A26)*('Active Spells'!$F$4:$F$1005="Saves")*('Active Spells'!$D$4:$D$1005)),MAX((Feats!$C$4:$C$1005=$A26)*(Feats!$D$4:$D$1005=M$2)*(Feats!$B$4:$B$1005),(Feats!$C$4:$C$1005=$A26)*(Feats!$D$4:$D$1005="Saves")*(Feats!$B$4:$B$1005)),MAX((Equipment!$A$7:$A$1013=1)*(Equipment!$B$7:$B$1013=$A26)*(Equipment!$C$7:$C$1013=M$2)*(Equipment!$G$7:$G$1013),(Equipment!$A$7:$A$1013=1)*(Equipment!$B$7:$B$1013=$A26)*(Equipment!$C$7:$C$1013="Saves")*(Equipment!$G$7:$G$1013)))</f>
        <v>0</v>
      </c>
      <c r="N26" s="8">
        <f t="array" ref="N26">MAX(MAX(('Active Spells'!$C$4:$C$1005=1)*('Active Spells'!$E$4:$E$1005=$A26)*('Active Spells'!$F$4:$F$1005=N$2)*('Active Spells'!$D$4:$D$1005),('Active Spells'!$C$4:$C$1005=1)*('Active Spells'!$E$4:$E$1005=$A26)*('Active Spells'!$F$4:$F$1005="Saves")*('Active Spells'!$D$4:$D$1005)),MAX((Feats!$C$4:$C$1005=$A26)*(Feats!$D$4:$D$1005=N$2)*(Feats!$B$4:$B$1005),(Feats!$C$4:$C$1005=$A26)*(Feats!$D$4:$D$1005="Saves")*(Feats!$B$4:$B$1005)),MAX((Equipment!$A$7:$A$1013=1)*(Equipment!$B$7:$B$1013=$A26)*(Equipment!$C$7:$C$1013=N$2)*(Equipment!$G$7:$G$1013),(Equipment!$A$7:$A$1013=1)*(Equipment!$B$7:$B$1013=$A26)*(Equipment!$C$7:$C$1013="Saves")*(Equipment!$G$7:$G$1013)))</f>
        <v>0</v>
      </c>
      <c r="O26" s="8">
        <f t="array" ref="O26">MAX(MAX(('Active Spells'!$C$4:$C$1005=1)*('Active Spells'!$E$4:$E$1005=$A26)*('Active Spells'!$F$4:$F$1005=O$2)*('Active Spells'!$D$4:$D$1005),('Active Spells'!$C$4:$C$1005=1)*('Active Spells'!$E$4:$E$1005=$A26)*('Active Spells'!$F$4:$F$1005="Saves")*('Active Spells'!$D$4:$D$1005)),MAX((Feats!$C$4:$C$1005=$A26)*(Feats!$D$4:$D$1005=O$2)*(Feats!$B$4:$B$1005),(Feats!$C$4:$C$1005=$A26)*(Feats!$D$4:$D$1005="Saves")*(Feats!$B$4:$B$1005)),MAX((Equipment!$A$7:$A$1013=1)*(Equipment!$B$7:$B$1013=$A26)*(Equipment!$C$7:$C$1013=O$2)*(Equipment!$G$7:$G$1013),(Equipment!$A$7:$A$1013=1)*(Equipment!$B$7:$B$1013=$A26)*(Equipment!$C$7:$C$1013="Saves")*(Equipment!$G$7:$G$1013)))</f>
        <v>0</v>
      </c>
      <c r="P26" s="8">
        <f t="array" ref="P26">MAX(MAX(('Active Spells'!$C$4:$C$1005=1)*('Active Spells'!$E$4:$E$1005=$A26)*('Active Spells'!$F$4:$F$1005=P$2)*('Active Spells'!$D$4:$D$1005)),MAX((Feats!$C$4:$C$1005=$A26)*(Feats!$D$4:$D$1005=P$2)*(Feats!$B$4:$B$1005)),MAX((Equipment!$A$7:$A$1013=1)*(Equipment!$B$7:$B$1013=$A26)*(Equipment!$C$7:$C$1013=P$2)*(Equipment!$G$7:$G$1013)))</f>
        <v>0</v>
      </c>
      <c r="Q26" s="8">
        <f t="array" ref="Q26">MAX(MAX(('Active Spells'!$C$4:$C$1005=1)*('Active Spells'!$E$4:$E$1005=$A26)*('Active Spells'!$F$4:$F$1005=Q$2)*('Active Spells'!$D$4:$D$1005)),MAX((Feats!$C$4:$C$1005=$A26)*(Feats!$D$4:$D$1005=Q$2)*(Feats!$B$4:$B$1005)),MAX((Equipment!$A$7:$A$1013=1)*(Equipment!$B$7:$B$1013=$A26)*(Equipment!$C$7:$C$1013=Q$2)*(Equipment!$G$7:$G$1013)))</f>
        <v>0</v>
      </c>
      <c r="R26" s="8">
        <f t="array" ref="R26">MAX(MAX(('Active Spells'!$C$4:$C$1005=1)*('Active Spells'!$E$4:$E$1005=$A26)*('Active Spells'!$F$4:$F$1005=R$2)*('Active Spells'!$D$4:$D$1005)),MAX((Feats!$C$4:$C$1005=$A26)*(Feats!$D$4:$D$1005=R$2)*(Feats!$B$4:$B$1005)),MAX((Equipment!$A$7:$A$1013=1)*(Equipment!$B$7:$B$1013=$A26)*(Equipment!$C$7:$C$1013=R$2)*(Equipment!$G$7:$G$1013)))</f>
        <v>0</v>
      </c>
      <c r="S26" s="8">
        <f t="array" ref="S26">MAX(MAX(('Active Spells'!$C$4:$C$1005=1)*('Active Spells'!$E$4:$E$1005=$A26)*('Active Spells'!$F$4:$F$1005=S$2)*('Active Spells'!$D$4:$D$1005)),MAX((Feats!$C$4:$C$1005=$A26)*(Feats!$D$4:$D$1005=S$2)*(Feats!$B$4:$B$1005)),MAX((Equipment!$A$7:$A$1013=1)*(Equipment!$B$7:$B$1013=$A26)*(Equipment!$C$7:$C$1013=S$2)*(Equipment!$G$7:$G$1013)))</f>
        <v>0</v>
      </c>
      <c r="T26" s="8">
        <f t="array" ref="T26">MAX(MAX(('Active Spells'!$C$4:$C$1005=1)*('Active Spells'!$E$4:$E$1005=$A26)*('Active Spells'!$F$4:$F$1005=T$2)*('Active Spells'!$D$4:$D$1005)),MAX((Feats!$C$4:$C$1005=$A26)*(Feats!$D$4:$D$1005=T$2)*(Feats!$B$4:$B$1005)),MAX((Equipment!$A$7:$A$1013=1)*(Equipment!$B$7:$B$1013=$A26)*(Equipment!$C$7:$C$1013=T$2)*(Equipment!$G$7:$G$1013)))</f>
        <v>0</v>
      </c>
      <c r="U26" s="8">
        <f t="array" ref="U26">MAX(MAX(('Active Spells'!$C$4:$C$1005=1)*('Active Spells'!$E$4:$E$1005=$A26)*('Active Spells'!$F$4:$F$1005=U$2)*('Active Spells'!$D$4:$D$1005)),MAX((Feats!$C$4:$C$1005=$A26)*(Feats!$D$4:$D$1005=U$2)*(Feats!$B$4:$B$1005)),MAX((Equipment!$A$7:$A$1013=1)*(Equipment!$B$7:$B$1013=$A26)*(Equipment!$C$7:$C$1013=U$2)*(Equipment!$G$7:$G$1013)))</f>
        <v>0</v>
      </c>
      <c r="V26" s="8">
        <f t="array" ref="V26">MAX(MAX(('Active Spells'!$C$4:$C$1005=1)*('Active Spells'!$E$4:$E$1005=$A26)*('Active Spells'!$F$4:$F$1005=V$2)*('Active Spells'!$D$4:$D$1005)),MAX((Feats!$C$4:$C$1005=$A26)*(Feats!$D$4:$D$1005=V$2)*(Feats!$B$4:$B$1005)),MAX((Equipment!$A$7:$A$1013=1)*(Equipment!$B$7:$B$1013=$A26)*(Equipment!$C$7:$C$1013=V$2)*(Equipment!$G$7:$G$1013)))</f>
        <v>0</v>
      </c>
      <c r="W26" s="8">
        <f t="array" ref="W26">MAX(MAX(('Active Spells'!$C$4:$C$1005=1)*('Active Spells'!$E$4:$E$1005=$A26)*('Active Spells'!$F$4:$F$1005=W$2)*('Active Spells'!$D$4:$D$1005)),MAX((Feats!$C$4:$C$1005=$A26)*(Feats!$D$4:$D$1005=W$2)*(Feats!$B$4:$B$1005)),MAX((Equipment!$A$7:$A$1013=1)*(Equipment!$B$7:$B$1013=$A26)*(Equipment!$C$7:$C$1013=W$2)*(Equipment!$G$7:$G$1013)))</f>
        <v>0</v>
      </c>
      <c r="X26" s="8">
        <f t="array" ref="X26">MAX(MAX(('Active Spells'!$C$4:$C$1005=1)*('Active Spells'!$E$4:$E$1005=$A26)*('Active Spells'!$F$4:$F$1005=X$2)*('Active Spells'!$D$4:$D$1005)),MAX((Feats!$C$4:$C$1005=$A26)*(Feats!$D$4:$D$1005=X$2)*(Feats!$B$4:$B$1005)),MAX((Equipment!$A$7:$A$1013=1)*(Equipment!$B$7:$B$1013=$A26)*(Equipment!$C$7:$C$1013=X$2)*(Equipment!$G$7:$G$1013)))</f>
        <v>0</v>
      </c>
      <c r="Y26" s="8">
        <f t="array" ref="Y26">MAX(MAX(('Active Spells'!$C$4:$C$1005=1)*('Active Spells'!$E$4:$E$1005=$A26)*('Active Spells'!$F$4:$F$1005=Y$2)*('Active Spells'!$D$4:$D$1005)),MAX((Feats!$C$4:$C$1005=$A26)*(Feats!$D$4:$D$1005=Y$2)*(Feats!$B$4:$B$1005)),MAX((Equipment!$A$7:$A$1013=1)*(Equipment!$B$7:$B$1013=$A26)*(Equipment!$C$7:$C$1013=Y$2)*(Equipment!$G$7:$G$1013)))</f>
        <v>0</v>
      </c>
      <c r="Z26" s="8">
        <f t="array" ref="Z26">MAX(MAX(('Active Spells'!$C$4:$C$1005=1)*('Active Spells'!$E$4:$E$1005=$A26)*('Active Spells'!$F$4:$F$1005=Z$2)*('Active Spells'!$D$4:$D$1005)),MAX((Feats!$C$4:$C$1005=$A26)*(Feats!$D$4:$D$1005=Z$2)*(Feats!$B$4:$B$1005)),MAX((Equipment!$A$7:$A$1013=1)*(Equipment!$B$7:$B$1013=$A26)*(Equipment!$C$7:$C$1013=Z$2)*(Equipment!$G$7:$G$1013)))</f>
        <v>0</v>
      </c>
      <c r="AA26" s="8">
        <f t="array" ref="AA26">MAX(MAX(('Active Spells'!$C$4:$C$1005=1)*('Active Spells'!$E$4:$E$1005=$A26)*('Active Spells'!$F$4:$F$1005=AA$2)*('Active Spells'!$D$4:$D$1005)),MAX((Feats!$C$4:$C$1005=$A26)*(Feats!$D$4:$D$1005=AA$2)*(Feats!$B$4:$B$1005)),MAX((Equipment!$A$7:$A$1013=1)*(Equipment!$B$7:$B$1013=$A26)*(Equipment!$C$7:$C$1013=AA$2)*(Equipment!$G$7:$G$1013)))</f>
        <v>0</v>
      </c>
    </row>
    <row r="27" spans="1:27" x14ac:dyDescent="0.2">
      <c r="A27" s="6" t="s">
        <v>208</v>
      </c>
      <c r="B27" s="8">
        <f t="array" ref="B27">MAX(MAX(('Active Spells'!$C$4:$C$1005=1)*('Active Spells'!$E$4:$E$1005=$A27)*('Active Spells'!$F$4:$F$1005=B$2)*('Active Spells'!$D$4:$D$1005)),MAX((Feats!$C$4:$C$1005=$A27)*(Feats!$D$4:$D$1005=B$2)*(Feats!$B$4:$B$1005)),MAX((Equipment!$A$7:$A$1013=1)*(Equipment!$B$7:$B$1013=$A27)*(Equipment!$C$7:$C$1013=B$2)*(Equipment!$G$7:$G$1013)))</f>
        <v>2</v>
      </c>
      <c r="C27" s="8">
        <f t="array" ref="C27">MAX(MAX(('Active Spells'!$C$4:$C$1005=1)*('Active Spells'!$E$4:$E$1005=$A27)*('Active Spells'!$F$4:$F$1005=C$2)*('Active Spells'!$D$4:$D$1005)),MAX((Feats!$C$4:$C$1005=$A27)*(Feats!$D$4:$D$1005=C$2)*(Feats!$B$4:$B$1005)),MAX((Equipment!$A$7:$A$1013=1)*(Equipment!$B$7:$B$1013=$A27)*(Equipment!$C$7:$C$1013=C$2)*(Equipment!$G$7:$G$1013)))</f>
        <v>0</v>
      </c>
      <c r="D27" s="8">
        <f t="array" ref="D27">MAX(MAX(('Active Spells'!$C$4:$C$1005=1)*('Active Spells'!$E$4:$E$1005=$A27)*('Active Spells'!$F$4:$F$1005=D$2)*('Active Spells'!$D$4:$D$1005)),MAX((Feats!$C$4:$C$1005=$A27)*(Feats!$D$4:$D$1005=D$2)*(Feats!$B$4:$B$1005)),MAX((Equipment!$A$7:$A$1013=1)*(Equipment!$B$7:$B$1013=$A27)*(Equipment!$C$7:$C$1013=D$2)*(Equipment!$G$7:$G$1013)))</f>
        <v>0</v>
      </c>
      <c r="E27" s="8">
        <f t="array" ref="E27">MAX(MAX(('Active Spells'!$C$4:$C$1005=1)*('Active Spells'!$E$4:$E$1005=$A27)*('Active Spells'!$F$4:$F$1005=E$2)*('Active Spells'!$D$4:$D$1005)),MAX((Feats!$C$4:$C$1005=$A27)*(Feats!$D$4:$D$1005=E$2)*(Feats!$B$4:$B$1005)),MAX((Equipment!$A$7:$A$1013=1)*(Equipment!$B$7:$B$1013=$A27)*(Equipment!$C$7:$C$1013=E$2)*(Equipment!$G$7:$G$1013)))</f>
        <v>0</v>
      </c>
      <c r="F27" s="8">
        <f t="array" ref="F27">MAX(MAX(('Active Spells'!$C$4:$C$1005=1)*('Active Spells'!$E$4:$E$1005=$A27)*('Active Spells'!$F$4:$F$1005=F$2)*('Active Spells'!$D$4:$D$1005)),MAX((Feats!$C$4:$C$1005=$A27)*(Feats!$D$4:$D$1005=F$2)*(Feats!$B$4:$B$1005)),MAX((Equipment!$A$7:$A$1013=1)*(Equipment!$B$7:$B$1013=$A27)*(Equipment!$C$7:$C$1013=F$2)*(Equipment!$G$7:$G$1013)))</f>
        <v>0</v>
      </c>
      <c r="G27" s="8">
        <f t="array" ref="G27">MAX(MAX(('Active Spells'!$C$4:$C$1005=1)*('Active Spells'!$E$4:$E$1005=$A27)*('Active Spells'!$F$4:$F$1005=G$2)*('Active Spells'!$D$4:$D$1005)),MAX((Feats!$C$4:$C$1005=$A27)*(Feats!$D$4:$D$1005=G$2)*(Feats!$B$4:$B$1005)),MAX((Equipment!$A$7:$A$1013=1)*(Equipment!$B$7:$B$1013=$A27)*(Equipment!$C$7:$C$1013=G$2)*(Equipment!$G$7:$G$1013)))</f>
        <v>0</v>
      </c>
      <c r="H27" s="8">
        <f>VLOOKUP(Character!$C$5, Charts!$L$9:$Q$17, 6, FALSE)</f>
        <v>-2</v>
      </c>
      <c r="I27" s="8">
        <f>VLOOKUP(Character!$C$5, Charts!$L$9:$Q$17, 6, FALSE)</f>
        <v>-2</v>
      </c>
      <c r="J27" s="8">
        <f t="array" ref="J27">MAX(MAX(('Active Spells'!$C$4:$C$1005=1)*('Active Spells'!$E$4:$E$1005=$A27)*('Active Spells'!$F$4:$F$1005=J$2)*('Active Spells'!$D$4:$D$1005)),MAX((Feats!$C$4:$C$1005=$A27)*(Feats!$D$4:$D$1005=J$2)*(Feats!$B$4:$B$1005)),MAX((Equipment!$A$7:$A$1013=1)*(Equipment!$B$7:$B$1013=$A27)*(Equipment!$C$7:$C$1013=J$2)*(Equipment!$G$7:$G$1013)))</f>
        <v>0</v>
      </c>
      <c r="K27" s="8">
        <f t="array" ref="K27">MAX(MAX(('Active Spells'!$C$4:$C$1005=1)*('Active Spells'!$E$4:$E$1005=$A27)*('Active Spells'!$F$4:$F$1005=K$2)*('Active Spells'!$D$4:$D$1005)),MAX((Feats!$C$4:$C$1005=$A27)*(Feats!$D$4:$D$1005=K$2)*(Feats!$B$4:$B$1005)),MAX((Equipment!$A$7:$A$1013=1)*(Equipment!$B$7:$B$1013=$A27)*(Equipment!$C$7:$C$1013=K$2)*(Equipment!$G$7:$G$1013)))</f>
        <v>0</v>
      </c>
      <c r="L27" s="8">
        <f t="array" ref="L27">MAX(MAX(('Active Spells'!$C$4:$C$1005=1)*('Active Spells'!$E$4:$E$1005=$A27)*('Active Spells'!$F$4:$F$1005=L$2)*('Active Spells'!$D$4:$D$1005)),MAX((Feats!$C$4:$C$1005=$A27)*(Feats!$D$4:$D$1005=L$2)*(Feats!$B$4:$B$1005)),MAX((Equipment!$A$7:$A$1013=1)*(Equipment!$B$7:$B$1013=$A27)*(Equipment!$C$7:$C$1013=L$2)*(Equipment!$G$7:$G$1013)))</f>
        <v>0</v>
      </c>
      <c r="M27" s="8">
        <f t="array" ref="M27">MAX(MAX(('Active Spells'!$C$4:$C$1005=1)*('Active Spells'!$E$4:$E$1005=$A27)*('Active Spells'!$F$4:$F$1005=M$2)*('Active Spells'!$D$4:$D$1005),('Active Spells'!$C$4:$C$1005=1)*('Active Spells'!$E$4:$E$1005=$A27)*('Active Spells'!$F$4:$F$1005="Saves")*('Active Spells'!$D$4:$D$1005)),MAX((Feats!$C$4:$C$1005=$A27)*(Feats!$D$4:$D$1005=M$2)*(Feats!$B$4:$B$1005),(Feats!$C$4:$C$1005=$A27)*(Feats!$D$4:$D$1005="Saves")*(Feats!$B$4:$B$1005)),MAX((Equipment!$A$7:$A$1013=1)*(Equipment!$B$7:$B$1013=$A27)*(Equipment!$C$7:$C$1013=M$2)*(Equipment!$G$7:$G$1013),(Equipment!$A$7:$A$1013=1)*(Equipment!$B$7:$B$1013=$A27)*(Equipment!$C$7:$C$1013="Saves")*(Equipment!$G$7:$G$1013)))</f>
        <v>0</v>
      </c>
      <c r="N27" s="8">
        <f t="array" ref="N27">MAX(MAX(('Active Spells'!$C$4:$C$1005=1)*('Active Spells'!$E$4:$E$1005=$A27)*('Active Spells'!$F$4:$F$1005=N$2)*('Active Spells'!$D$4:$D$1005),('Active Spells'!$C$4:$C$1005=1)*('Active Spells'!$E$4:$E$1005=$A27)*('Active Spells'!$F$4:$F$1005="Saves")*('Active Spells'!$D$4:$D$1005)),MAX((Feats!$C$4:$C$1005=$A27)*(Feats!$D$4:$D$1005=N$2)*(Feats!$B$4:$B$1005),(Feats!$C$4:$C$1005=$A27)*(Feats!$D$4:$D$1005="Saves")*(Feats!$B$4:$B$1005)),MAX((Equipment!$A$7:$A$1013=1)*(Equipment!$B$7:$B$1013=$A27)*(Equipment!$C$7:$C$1013=N$2)*(Equipment!$G$7:$G$1013),(Equipment!$A$7:$A$1013=1)*(Equipment!$B$7:$B$1013=$A27)*(Equipment!$C$7:$C$1013="Saves")*(Equipment!$G$7:$G$1013)))</f>
        <v>0</v>
      </c>
      <c r="O27" s="8">
        <f t="array" ref="O27">MAX(MAX(('Active Spells'!$C$4:$C$1005=1)*('Active Spells'!$E$4:$E$1005=$A27)*('Active Spells'!$F$4:$F$1005=O$2)*('Active Spells'!$D$4:$D$1005),('Active Spells'!$C$4:$C$1005=1)*('Active Spells'!$E$4:$E$1005=$A27)*('Active Spells'!$F$4:$F$1005="Saves")*('Active Spells'!$D$4:$D$1005)),MAX((Feats!$C$4:$C$1005=$A27)*(Feats!$D$4:$D$1005=O$2)*(Feats!$B$4:$B$1005),(Feats!$C$4:$C$1005=$A27)*(Feats!$D$4:$D$1005="Saves")*(Feats!$B$4:$B$1005)),MAX((Equipment!$A$7:$A$1013=1)*(Equipment!$B$7:$B$1013=$A27)*(Equipment!$C$7:$C$1013=O$2)*(Equipment!$G$7:$G$1013),(Equipment!$A$7:$A$1013=1)*(Equipment!$B$7:$B$1013=$A27)*(Equipment!$C$7:$C$1013="Saves")*(Equipment!$G$7:$G$1013)))</f>
        <v>0</v>
      </c>
      <c r="P27" s="8">
        <f t="array" ref="P27">MAX(MAX(('Active Spells'!$C$4:$C$1005=1)*('Active Spells'!$E$4:$E$1005=$A27)*('Active Spells'!$F$4:$F$1005=P$2)*('Active Spells'!$D$4:$D$1005)),MAX((Feats!$C$4:$C$1005=$A27)*(Feats!$D$4:$D$1005=P$2)*(Feats!$B$4:$B$1005)),MAX((Equipment!$A$7:$A$1013=1)*(Equipment!$B$7:$B$1013=$A27)*(Equipment!$C$7:$C$1013=P$2)*(Equipment!$G$7:$G$1013)))</f>
        <v>0</v>
      </c>
      <c r="Q27" s="8">
        <f t="array" ref="Q27">MAX(MAX(('Active Spells'!$C$4:$C$1005=1)*('Active Spells'!$E$4:$E$1005=$A27)*('Active Spells'!$F$4:$F$1005=Q$2)*('Active Spells'!$D$4:$D$1005)),MAX((Feats!$C$4:$C$1005=$A27)*(Feats!$D$4:$D$1005=Q$2)*(Feats!$B$4:$B$1005)),MAX((Equipment!$A$7:$A$1013=1)*(Equipment!$B$7:$B$1013=$A27)*(Equipment!$C$7:$C$1013=Q$2)*(Equipment!$G$7:$G$1013)))</f>
        <v>0</v>
      </c>
      <c r="R27" s="8">
        <f t="array" ref="R27">MAX(MAX(('Active Spells'!$C$4:$C$1005=1)*('Active Spells'!$E$4:$E$1005=$A27)*('Active Spells'!$F$4:$F$1005=R$2)*('Active Spells'!$D$4:$D$1005)),MAX((Feats!$C$4:$C$1005=$A27)*(Feats!$D$4:$D$1005=R$2)*(Feats!$B$4:$B$1005)),MAX((Equipment!$A$7:$A$1013=1)*(Equipment!$B$7:$B$1013=$A27)*(Equipment!$C$7:$C$1013=R$2)*(Equipment!$G$7:$G$1013)))</f>
        <v>0</v>
      </c>
      <c r="S27" s="8">
        <f t="array" ref="S27">MAX(MAX(('Active Spells'!$C$4:$C$1005=1)*('Active Spells'!$E$4:$E$1005=$A27)*('Active Spells'!$F$4:$F$1005=S$2)*('Active Spells'!$D$4:$D$1005)),MAX((Feats!$C$4:$C$1005=$A27)*(Feats!$D$4:$D$1005=S$2)*(Feats!$B$4:$B$1005)),MAX((Equipment!$A$7:$A$1013=1)*(Equipment!$B$7:$B$1013=$A27)*(Equipment!$C$7:$C$1013=S$2)*(Equipment!$G$7:$G$1013)))</f>
        <v>0</v>
      </c>
      <c r="T27" s="8">
        <f t="array" ref="T27">MAX(MAX(('Active Spells'!$C$4:$C$1005=1)*('Active Spells'!$E$4:$E$1005=$A27)*('Active Spells'!$F$4:$F$1005=T$2)*('Active Spells'!$D$4:$D$1005)),MAX((Feats!$C$4:$C$1005=$A27)*(Feats!$D$4:$D$1005=T$2)*(Feats!$B$4:$B$1005)),MAX((Equipment!$A$7:$A$1013=1)*(Equipment!$B$7:$B$1013=$A27)*(Equipment!$C$7:$C$1013=T$2)*(Equipment!$G$7:$G$1013)))</f>
        <v>0</v>
      </c>
      <c r="U27" s="8">
        <f t="array" ref="U27">MAX(MAX(('Active Spells'!$C$4:$C$1005=1)*('Active Spells'!$E$4:$E$1005=$A27)*('Active Spells'!$F$4:$F$1005=U$2)*('Active Spells'!$D$4:$D$1005)),MAX((Feats!$C$4:$C$1005=$A27)*(Feats!$D$4:$D$1005=U$2)*(Feats!$B$4:$B$1005)),MAX((Equipment!$A$7:$A$1013=1)*(Equipment!$B$7:$B$1013=$A27)*(Equipment!$C$7:$C$1013=U$2)*(Equipment!$G$7:$G$1013)))</f>
        <v>0</v>
      </c>
      <c r="V27" s="8">
        <f t="array" ref="V27">MAX(MAX(('Active Spells'!$C$4:$C$1005=1)*('Active Spells'!$E$4:$E$1005=$A27)*('Active Spells'!$F$4:$F$1005=V$2)*('Active Spells'!$D$4:$D$1005)),MAX((Feats!$C$4:$C$1005=$A27)*(Feats!$D$4:$D$1005=V$2)*(Feats!$B$4:$B$1005)),MAX((Equipment!$A$7:$A$1013=1)*(Equipment!$B$7:$B$1013=$A27)*(Equipment!$C$7:$C$1013=V$2)*(Equipment!$G$7:$G$1013)))</f>
        <v>0</v>
      </c>
      <c r="W27" s="8">
        <f t="array" ref="W27">MAX(MAX(('Active Spells'!$C$4:$C$1005=1)*('Active Spells'!$E$4:$E$1005=$A27)*('Active Spells'!$F$4:$F$1005=W$2)*('Active Spells'!$D$4:$D$1005)),MAX((Feats!$C$4:$C$1005=$A27)*(Feats!$D$4:$D$1005=W$2)*(Feats!$B$4:$B$1005)),MAX((Equipment!$A$7:$A$1013=1)*(Equipment!$B$7:$B$1013=$A27)*(Equipment!$C$7:$C$1013=W$2)*(Equipment!$G$7:$G$1013)))</f>
        <v>0</v>
      </c>
      <c r="X27" s="8">
        <f t="array" ref="X27">MAX(MAX(('Active Spells'!$C$4:$C$1005=1)*('Active Spells'!$E$4:$E$1005=$A27)*('Active Spells'!$F$4:$F$1005=X$2)*('Active Spells'!$D$4:$D$1005)),MAX((Feats!$C$4:$C$1005=$A27)*(Feats!$D$4:$D$1005=X$2)*(Feats!$B$4:$B$1005)),MAX((Equipment!$A$7:$A$1013=1)*(Equipment!$B$7:$B$1013=$A27)*(Equipment!$C$7:$C$1013=X$2)*(Equipment!$G$7:$G$1013)))</f>
        <v>0</v>
      </c>
      <c r="Y27" s="8">
        <f t="array" ref="Y27">MAX(MAX(('Active Spells'!$C$4:$C$1005=1)*('Active Spells'!$E$4:$E$1005=$A27)*('Active Spells'!$F$4:$F$1005=Y$2)*('Active Spells'!$D$4:$D$1005)),MAX((Feats!$C$4:$C$1005=$A27)*(Feats!$D$4:$D$1005=Y$2)*(Feats!$B$4:$B$1005)),MAX((Equipment!$A$7:$A$1013=1)*(Equipment!$B$7:$B$1013=$A27)*(Equipment!$C$7:$C$1013=Y$2)*(Equipment!$G$7:$G$1013)))</f>
        <v>0</v>
      </c>
      <c r="Z27" s="8">
        <f t="array" ref="Z27">MAX(MAX(('Active Spells'!$C$4:$C$1005=1)*('Active Spells'!$E$4:$E$1005=$A27)*('Active Spells'!$F$4:$F$1005=Z$2)*('Active Spells'!$D$4:$D$1005)),MAX((Feats!$C$4:$C$1005=$A27)*(Feats!$D$4:$D$1005=Z$2)*(Feats!$B$4:$B$1005)),MAX((Equipment!$A$7:$A$1013=1)*(Equipment!$B$7:$B$1013=$A27)*(Equipment!$C$7:$C$1013=Z$2)*(Equipment!$G$7:$G$1013)))</f>
        <v>0</v>
      </c>
      <c r="AA27" s="8">
        <f t="array" ref="AA27">MAX(MAX(('Active Spells'!$C$4:$C$1005=1)*('Active Spells'!$E$4:$E$1005=$A27)*('Active Spells'!$F$4:$F$1005=AA$2)*('Active Spells'!$D$4:$D$1005)),MAX((Feats!$C$4:$C$1005=$A27)*(Feats!$D$4:$D$1005=AA$2)*(Feats!$B$4:$B$1005)),MAX((Equipment!$A$7:$A$1013=1)*(Equipment!$B$7:$B$1013=$A27)*(Equipment!$C$7:$C$1013=AA$2)*(Equipment!$G$7:$G$1013)))</f>
        <v>0</v>
      </c>
    </row>
    <row r="28" spans="1:27" x14ac:dyDescent="0.2">
      <c r="A28" s="6" t="s">
        <v>260</v>
      </c>
      <c r="B28" s="8">
        <f t="array" ref="B28">MAX(MAX(('Active Spells'!$C$4:$C$1005=1)*('Active Spells'!$E$4:$E$1005=$A28)*('Active Spells'!$F$4:$F$1005=B$2)*('Active Spells'!$D$4:$D$1005)),MAX((Feats!$C$4:$C$1005=$A28)*(Feats!$D$4:$D$1005=B$2)*(Feats!$B$4:$B$1005)),MAX((Equipment!$A$7:$A$1013=1)*(Equipment!$B$7:$B$1013=$A28)*(Equipment!$C$7:$C$1013=B$2)*(Equipment!$G$7:$G$1013)))</f>
        <v>0</v>
      </c>
      <c r="C28" s="8">
        <f t="array" ref="C28">MAX(MAX(('Active Spells'!$C$4:$C$1005=1)*('Active Spells'!$E$4:$E$1005=$A28)*('Active Spells'!$F$4:$F$1005=C$2)*('Active Spells'!$D$4:$D$1005)),MAX((Feats!$C$4:$C$1005=$A28)*(Feats!$D$4:$D$1005=C$2)*(Feats!$B$4:$B$1005)),MAX((Equipment!$A$7:$A$1013=1)*(Equipment!$B$7:$B$1013=$A28)*(Equipment!$C$7:$C$1013=C$2)*(Equipment!$G$7:$G$1013)))</f>
        <v>0</v>
      </c>
      <c r="D28" s="8">
        <f t="array" ref="D28">MAX(MAX(('Active Spells'!$C$4:$C$1005=1)*('Active Spells'!$E$4:$E$1005=$A28)*('Active Spells'!$F$4:$F$1005=D$2)*('Active Spells'!$D$4:$D$1005)),MAX((Feats!$C$4:$C$1005=$A28)*(Feats!$D$4:$D$1005=D$2)*(Feats!$B$4:$B$1005)),MAX((Equipment!$A$7:$A$1013=1)*(Equipment!$B$7:$B$1013=$A28)*(Equipment!$C$7:$C$1013=D$2)*(Equipment!$G$7:$G$1013)))</f>
        <v>0</v>
      </c>
      <c r="E28" s="8">
        <f t="array" ref="E28">MAX(MAX(('Active Spells'!$C$4:$C$1005=1)*('Active Spells'!$E$4:$E$1005=$A28)*('Active Spells'!$F$4:$F$1005=E$2)*('Active Spells'!$D$4:$D$1005)),MAX((Feats!$C$4:$C$1005=$A28)*(Feats!$D$4:$D$1005=E$2)*(Feats!$B$4:$B$1005)),MAX((Equipment!$A$7:$A$1013=1)*(Equipment!$B$7:$B$1013=$A28)*(Equipment!$C$7:$C$1013=E$2)*(Equipment!$G$7:$G$1013)))</f>
        <v>0</v>
      </c>
      <c r="F28" s="8">
        <f t="array" ref="F28">MAX(MAX(('Active Spells'!$C$4:$C$1005=1)*('Active Spells'!$E$4:$E$1005=$A28)*('Active Spells'!$F$4:$F$1005=F$2)*('Active Spells'!$D$4:$D$1005)),MAX((Feats!$C$4:$C$1005=$A28)*(Feats!$D$4:$D$1005=F$2)*(Feats!$B$4:$B$1005)),MAX((Equipment!$A$7:$A$1013=1)*(Equipment!$B$7:$B$1013=$A28)*(Equipment!$C$7:$C$1013=F$2)*(Equipment!$G$7:$G$1013)))</f>
        <v>0</v>
      </c>
      <c r="G28" s="8">
        <f t="array" ref="G28">MAX(MAX(('Active Spells'!$C$4:$C$1005=1)*('Active Spells'!$E$4:$E$1005=$A28)*('Active Spells'!$F$4:$F$1005=G$2)*('Active Spells'!$D$4:$D$1005)),MAX((Feats!$C$4:$C$1005=$A28)*(Feats!$D$4:$D$1005=G$2)*(Feats!$B$4:$B$1005)),MAX((Equipment!$A$7:$A$1013=1)*(Equipment!$B$7:$B$1013=$A28)*(Equipment!$C$7:$C$1013=G$2)*(Equipment!$G$7:$G$1013)))</f>
        <v>0</v>
      </c>
      <c r="H28" s="8">
        <f t="array" ref="H28">MAX(MAX(('Active Spells'!$C$4:$C$1005=1)*('Active Spells'!$E$4:$E$1005=$A28)*('Active Spells'!$F$4:$F$1005=H$2)*('Active Spells'!$D$4:$D$1005)),MAX((Feats!$C$4:$C$1005=$A28)*(Feats!$D$4:$D$1005=H$2)*(Feats!$B$4:$B$1005)),MAX((Equipment!$A$7:$A$1013=1)*(Equipment!$B$7:$B$1013=$A28)*(Equipment!$C$7:$C$1013=H$2)*(Equipment!$G$7:$G$1013)))</f>
        <v>0</v>
      </c>
      <c r="I28" s="8">
        <f t="array" ref="I28">MAX(MAX(('Active Spells'!$C$4:$C$1005=1)*('Active Spells'!$E$4:$E$1005=$A28)*('Active Spells'!$F$4:$F$1005=I$2)*('Active Spells'!$D$4:$D$1005)),MAX((Feats!$C$4:$C$1005=$A28)*(Feats!$D$4:$D$1005=I$2)*(Feats!$B$4:$B$1005)),MAX((Equipment!$A$7:$A$1013=1)*(Equipment!$B$7:$B$1013=$A28)*(Equipment!$C$7:$C$1013=I$2)*(Equipment!$G$7:$G$1013)))</f>
        <v>0</v>
      </c>
      <c r="J28" s="8">
        <f t="array" ref="J28">MAX(MAX(('Active Spells'!$C$4:$C$1005=1)*('Active Spells'!$E$4:$E$1005=$A28)*('Active Spells'!$F$4:$F$1005=J$2)*('Active Spells'!$D$4:$D$1005)),MAX((Feats!$C$4:$C$1005=$A28)*(Feats!$D$4:$D$1005=J$2)*(Feats!$B$4:$B$1005)),MAX((Equipment!$A$7:$A$1013=1)*(Equipment!$B$7:$B$1013=$A28)*(Equipment!$C$7:$C$1013=J$2)*(Equipment!$G$7:$G$1013)))</f>
        <v>0</v>
      </c>
      <c r="K28" s="8">
        <f t="array" ref="K28">MAX(MAX(('Active Spells'!$C$4:$C$1005=1)*('Active Spells'!$E$4:$E$1005=$A28)*('Active Spells'!$F$4:$F$1005=K$2)*('Active Spells'!$D$4:$D$1005)),MAX((Feats!$C$4:$C$1005=$A28)*(Feats!$D$4:$D$1005=K$2)*(Feats!$B$4:$B$1005)),MAX((Equipment!$A$7:$A$1013=1)*(Equipment!$B$7:$B$1013=$A28)*(Equipment!$C$7:$C$1013=K$2)*(Equipment!$G$7:$G$1013)))</f>
        <v>0</v>
      </c>
      <c r="L28" s="8">
        <f t="array" ref="L28">MAX(MAX(('Active Spells'!$C$4:$C$1005=1)*('Active Spells'!$E$4:$E$1005=$A28)*('Active Spells'!$F$4:$F$1005=L$2)*('Active Spells'!$D$4:$D$1005)),MAX((Feats!$C$4:$C$1005=$A28)*(Feats!$D$4:$D$1005=L$2)*(Feats!$B$4:$B$1005)),MAX((Equipment!$A$7:$A$1013=1)*(Equipment!$B$7:$B$1013=$A28)*(Equipment!$C$7:$C$1013=L$2)*(Equipment!$G$7:$G$1013)))</f>
        <v>0</v>
      </c>
      <c r="M28" s="8">
        <f t="array" ref="M28">MAX(MAX(('Active Spells'!$C$4:$C$1005=1)*('Active Spells'!$E$4:$E$1005=$A28)*('Active Spells'!$F$4:$F$1005=M$2)*('Active Spells'!$D$4:$D$1005),('Active Spells'!$C$4:$C$1005=1)*('Active Spells'!$E$4:$E$1005=$A28)*('Active Spells'!$F$4:$F$1005="Saves")*('Active Spells'!$D$4:$D$1005)),MAX((Feats!$C$4:$C$1005=$A28)*(Feats!$D$4:$D$1005=M$2)*(Feats!$B$4:$B$1005),(Feats!$C$4:$C$1005=$A28)*(Feats!$D$4:$D$1005="Saves")*(Feats!$B$4:$B$1005)),MAX((Equipment!$A$7:$A$1013=1)*(Equipment!$B$7:$B$1013=$A28)*(Equipment!$C$7:$C$1013=M$2)*(Equipment!$G$7:$G$1013),(Equipment!$A$7:$A$1013=1)*(Equipment!$B$7:$B$1013=$A28)*(Equipment!$C$7:$C$1013="Saves")*(Equipment!$G$7:$G$1013)))</f>
        <v>0</v>
      </c>
      <c r="N28" s="8">
        <f t="array" ref="N28">MAX(MAX(('Active Spells'!$C$4:$C$1005=1)*('Active Spells'!$E$4:$E$1005=$A28)*('Active Spells'!$F$4:$F$1005=N$2)*('Active Spells'!$D$4:$D$1005),('Active Spells'!$C$4:$C$1005=1)*('Active Spells'!$E$4:$E$1005=$A28)*('Active Spells'!$F$4:$F$1005="Saves")*('Active Spells'!$D$4:$D$1005)),MAX((Feats!$C$4:$C$1005=$A28)*(Feats!$D$4:$D$1005=N$2)*(Feats!$B$4:$B$1005),(Feats!$C$4:$C$1005=$A28)*(Feats!$D$4:$D$1005="Saves")*(Feats!$B$4:$B$1005)),MAX((Equipment!$A$7:$A$1013=1)*(Equipment!$B$7:$B$1013=$A28)*(Equipment!$C$7:$C$1013=N$2)*(Equipment!$G$7:$G$1013),(Equipment!$A$7:$A$1013=1)*(Equipment!$B$7:$B$1013=$A28)*(Equipment!$C$7:$C$1013="Saves")*(Equipment!$G$7:$G$1013)))</f>
        <v>0</v>
      </c>
      <c r="O28" s="8">
        <f t="array" ref="O28">MAX(MAX(('Active Spells'!$C$4:$C$1005=1)*('Active Spells'!$E$4:$E$1005=$A28)*('Active Spells'!$F$4:$F$1005=O$2)*('Active Spells'!$D$4:$D$1005),('Active Spells'!$C$4:$C$1005=1)*('Active Spells'!$E$4:$E$1005=$A28)*('Active Spells'!$F$4:$F$1005="Saves")*('Active Spells'!$D$4:$D$1005)),MAX((Feats!$C$4:$C$1005=$A28)*(Feats!$D$4:$D$1005=O$2)*(Feats!$B$4:$B$1005),(Feats!$C$4:$C$1005=$A28)*(Feats!$D$4:$D$1005="Saves")*(Feats!$B$4:$B$1005)),MAX((Equipment!$A$7:$A$1013=1)*(Equipment!$B$7:$B$1013=$A28)*(Equipment!$C$7:$C$1013=O$2)*(Equipment!$G$7:$G$1013),(Equipment!$A$7:$A$1013=1)*(Equipment!$B$7:$B$1013=$A28)*(Equipment!$C$7:$C$1013="Saves")*(Equipment!$G$7:$G$1013)))</f>
        <v>0</v>
      </c>
      <c r="P28" s="8">
        <f t="array" ref="P28">MAX(MAX(('Active Spells'!$C$4:$C$1005=1)*('Active Spells'!$E$4:$E$1005=$A28)*('Active Spells'!$F$4:$F$1005=P$2)*('Active Spells'!$D$4:$D$1005)),MAX((Feats!$C$4:$C$1005=$A28)*(Feats!$D$4:$D$1005=P$2)*(Feats!$B$4:$B$1005)),MAX((Equipment!$A$7:$A$1013=1)*(Equipment!$B$7:$B$1013=$A28)*(Equipment!$C$7:$C$1013=P$2)*(Equipment!$G$7:$G$1013)))</f>
        <v>0</v>
      </c>
      <c r="Q28" s="8">
        <f t="array" ref="Q28">MAX(MAX(('Active Spells'!$C$4:$C$1005=1)*('Active Spells'!$E$4:$E$1005=$A28)*('Active Spells'!$F$4:$F$1005=Q$2)*('Active Spells'!$D$4:$D$1005)),MAX((Feats!$C$4:$C$1005=$A28)*(Feats!$D$4:$D$1005=Q$2)*(Feats!$B$4:$B$1005)),MAX((Equipment!$A$7:$A$1013=1)*(Equipment!$B$7:$B$1013=$A28)*(Equipment!$C$7:$C$1013=Q$2)*(Equipment!$G$7:$G$1013)))</f>
        <v>0</v>
      </c>
      <c r="R28" s="8">
        <f t="array" ref="R28">MAX(MAX(('Active Spells'!$C$4:$C$1005=1)*('Active Spells'!$E$4:$E$1005=$A28)*('Active Spells'!$F$4:$F$1005=R$2)*('Active Spells'!$D$4:$D$1005)),MAX((Feats!$C$4:$C$1005=$A28)*(Feats!$D$4:$D$1005=R$2)*(Feats!$B$4:$B$1005)),MAX((Equipment!$A$7:$A$1013=1)*(Equipment!$B$7:$B$1013=$A28)*(Equipment!$C$7:$C$1013=R$2)*(Equipment!$G$7:$G$1013)))</f>
        <v>0</v>
      </c>
      <c r="S28" s="8">
        <f t="array" ref="S28">MAX(MAX(('Active Spells'!$C$4:$C$1005=1)*('Active Spells'!$E$4:$E$1005=$A28)*('Active Spells'!$F$4:$F$1005=S$2)*('Active Spells'!$D$4:$D$1005)),MAX((Feats!$C$4:$C$1005=$A28)*(Feats!$D$4:$D$1005=S$2)*(Feats!$B$4:$B$1005)),MAX((Equipment!$A$7:$A$1013=1)*(Equipment!$B$7:$B$1013=$A28)*(Equipment!$C$7:$C$1013=S$2)*(Equipment!$G$7:$G$1013)))</f>
        <v>0</v>
      </c>
      <c r="T28" s="8">
        <f t="array" ref="T28">MAX(MAX(('Active Spells'!$C$4:$C$1005=1)*('Active Spells'!$E$4:$E$1005=$A28)*('Active Spells'!$F$4:$F$1005=T$2)*('Active Spells'!$D$4:$D$1005)),MAX((Feats!$C$4:$C$1005=$A28)*(Feats!$D$4:$D$1005=T$2)*(Feats!$B$4:$B$1005)),MAX((Equipment!$A$7:$A$1013=1)*(Equipment!$B$7:$B$1013=$A28)*(Equipment!$C$7:$C$1013=T$2)*(Equipment!$G$7:$G$1013)))</f>
        <v>0</v>
      </c>
      <c r="U28" s="8">
        <f t="array" ref="U28">MAX(MAX(('Active Spells'!$C$4:$C$1005=1)*('Active Spells'!$E$4:$E$1005=$A28)*('Active Spells'!$F$4:$F$1005=U$2)*('Active Spells'!$D$4:$D$1005)),MAX((Feats!$C$4:$C$1005=$A28)*(Feats!$D$4:$D$1005=U$2)*(Feats!$B$4:$B$1005)),MAX((Equipment!$A$7:$A$1013=1)*(Equipment!$B$7:$B$1013=$A28)*(Equipment!$C$7:$C$1013=U$2)*(Equipment!$G$7:$G$1013)))</f>
        <v>0</v>
      </c>
      <c r="V28" s="8">
        <f t="array" ref="V28">MAX(MAX(('Active Spells'!$C$4:$C$1005=1)*('Active Spells'!$E$4:$E$1005=$A28)*('Active Spells'!$F$4:$F$1005=V$2)*('Active Spells'!$D$4:$D$1005)),MAX((Feats!$C$4:$C$1005=$A28)*(Feats!$D$4:$D$1005=V$2)*(Feats!$B$4:$B$1005)),MAX((Equipment!$A$7:$A$1013=1)*(Equipment!$B$7:$B$1013=$A28)*(Equipment!$C$7:$C$1013=V$2)*(Equipment!$G$7:$G$1013)))</f>
        <v>0</v>
      </c>
      <c r="W28" s="8">
        <f t="array" ref="W28">MAX(MAX(('Active Spells'!$C$4:$C$1005=1)*('Active Spells'!$E$4:$E$1005=$A28)*('Active Spells'!$F$4:$F$1005=W$2)*('Active Spells'!$D$4:$D$1005)),MAX((Feats!$C$4:$C$1005=$A28)*(Feats!$D$4:$D$1005=W$2)*(Feats!$B$4:$B$1005)),MAX((Equipment!$A$7:$A$1013=1)*(Equipment!$B$7:$B$1013=$A28)*(Equipment!$C$7:$C$1013=W$2)*(Equipment!$G$7:$G$1013)))</f>
        <v>0</v>
      </c>
      <c r="X28" s="8">
        <f t="array" ref="X28">MAX(MAX(('Active Spells'!$C$4:$C$1005=1)*('Active Spells'!$E$4:$E$1005=$A28)*('Active Spells'!$F$4:$F$1005=X$2)*('Active Spells'!$D$4:$D$1005)),MAX((Feats!$C$4:$C$1005=$A28)*(Feats!$D$4:$D$1005=X$2)*(Feats!$B$4:$B$1005)),MAX((Equipment!$A$7:$A$1013=1)*(Equipment!$B$7:$B$1013=$A28)*(Equipment!$C$7:$C$1013=X$2)*(Equipment!$G$7:$G$1013)))</f>
        <v>0</v>
      </c>
      <c r="Y28" s="8">
        <f t="array" ref="Y28">MAX(MAX(('Active Spells'!$C$4:$C$1005=1)*('Active Spells'!$E$4:$E$1005=$A28)*('Active Spells'!$F$4:$F$1005=Y$2)*('Active Spells'!$D$4:$D$1005)),MAX((Feats!$C$4:$C$1005=$A28)*(Feats!$D$4:$D$1005=Y$2)*(Feats!$B$4:$B$1005)),MAX((Equipment!$A$7:$A$1013=1)*(Equipment!$B$7:$B$1013=$A28)*(Equipment!$C$7:$C$1013=Y$2)*(Equipment!$G$7:$G$1013)))</f>
        <v>0</v>
      </c>
      <c r="Z28" s="8">
        <f t="array" ref="Z28">MAX(MAX(('Active Spells'!$C$4:$C$1005=1)*('Active Spells'!$E$4:$E$1005=$A28)*('Active Spells'!$F$4:$F$1005=Z$2)*('Active Spells'!$D$4:$D$1005)),MAX((Feats!$C$4:$C$1005=$A28)*(Feats!$D$4:$D$1005=Z$2)*(Feats!$B$4:$B$1005)),MAX((Equipment!$A$7:$A$1013=1)*(Equipment!$B$7:$B$1013=$A28)*(Equipment!$C$7:$C$1013=Z$2)*(Equipment!$G$7:$G$1013)))</f>
        <v>0</v>
      </c>
      <c r="AA28" s="8">
        <f t="array" ref="AA28">MAX(MAX(('Active Spells'!$C$4:$C$1005=1)*('Active Spells'!$E$4:$E$1005=$A28)*('Active Spells'!$F$4:$F$1005=AA$2)*('Active Spells'!$D$4:$D$1005)),MAX((Feats!$C$4:$C$1005=$A28)*(Feats!$D$4:$D$1005=AA$2)*(Feats!$B$4:$B$1005)),MAX((Equipment!$A$7:$A$1013=1)*(Equipment!$B$7:$B$1013=$A28)*(Equipment!$C$7:$C$1013=AA$2)*(Equipment!$G$7:$G$1013)))</f>
        <v>0</v>
      </c>
    </row>
    <row r="29" spans="1:27" x14ac:dyDescent="0.2">
      <c r="A29" s="6" t="s">
        <v>261</v>
      </c>
      <c r="B29" s="8">
        <f t="array" ref="B29">MAX(MAX(('Active Spells'!$C$4:$C$1005=1)*('Active Spells'!$E$4:$E$1005=$A29)*('Active Spells'!$F$4:$F$1005=B$2)*('Active Spells'!$D$4:$D$1005)),MAX((Feats!$C$4:$C$1005=$A29)*(Feats!$D$4:$D$1005=B$2)*(Feats!$B$4:$B$1005)),MAX((Equipment!$A$7:$A$1013=1)*(Equipment!$B$7:$B$1013=$A29)*(Equipment!$C$7:$C$1013=B$2)*(Equipment!$G$7:$G$1013)))</f>
        <v>0</v>
      </c>
      <c r="C29" s="8">
        <f t="array" ref="C29">MAX(MAX(('Active Spells'!$C$4:$C$1005=1)*('Active Spells'!$E$4:$E$1005=$A29)*('Active Spells'!$F$4:$F$1005=C$2)*('Active Spells'!$D$4:$D$1005)),MAX((Feats!$C$4:$C$1005=$A29)*(Feats!$D$4:$D$1005=C$2)*(Feats!$B$4:$B$1005)),MAX((Equipment!$A$7:$A$1013=1)*(Equipment!$B$7:$B$1013=$A29)*(Equipment!$C$7:$C$1013=C$2)*(Equipment!$G$7:$G$1013)))</f>
        <v>0</v>
      </c>
      <c r="D29" s="8">
        <f t="array" ref="D29">MAX(MAX(('Active Spells'!$C$4:$C$1005=1)*('Active Spells'!$E$4:$E$1005=$A29)*('Active Spells'!$F$4:$F$1005=D$2)*('Active Spells'!$D$4:$D$1005)),MAX((Feats!$C$4:$C$1005=$A29)*(Feats!$D$4:$D$1005=D$2)*(Feats!$B$4:$B$1005)),MAX((Equipment!$A$7:$A$1013=1)*(Equipment!$B$7:$B$1013=$A29)*(Equipment!$C$7:$C$1013=D$2)*(Equipment!$G$7:$G$1013)))</f>
        <v>0</v>
      </c>
      <c r="E29" s="8">
        <f t="array" ref="E29">MAX(MAX(('Active Spells'!$C$4:$C$1005=1)*('Active Spells'!$E$4:$E$1005=$A29)*('Active Spells'!$F$4:$F$1005=E$2)*('Active Spells'!$D$4:$D$1005)),MAX((Feats!$C$4:$C$1005=$A29)*(Feats!$D$4:$D$1005=E$2)*(Feats!$B$4:$B$1005)),MAX((Equipment!$A$7:$A$1013=1)*(Equipment!$B$7:$B$1013=$A29)*(Equipment!$C$7:$C$1013=E$2)*(Equipment!$G$7:$G$1013)))</f>
        <v>0</v>
      </c>
      <c r="F29" s="8">
        <f t="array" ref="F29">MAX(MAX(('Active Spells'!$C$4:$C$1005=1)*('Active Spells'!$E$4:$E$1005=$A29)*('Active Spells'!$F$4:$F$1005=F$2)*('Active Spells'!$D$4:$D$1005)),MAX((Feats!$C$4:$C$1005=$A29)*(Feats!$D$4:$D$1005=F$2)*(Feats!$B$4:$B$1005)),MAX((Equipment!$A$7:$A$1013=1)*(Equipment!$B$7:$B$1013=$A29)*(Equipment!$C$7:$C$1013=F$2)*(Equipment!$G$7:$G$1013)))</f>
        <v>0</v>
      </c>
      <c r="G29" s="8">
        <f t="array" ref="G29">MAX(MAX(('Active Spells'!$C$4:$C$1005=1)*('Active Spells'!$E$4:$E$1005=$A29)*('Active Spells'!$F$4:$F$1005=G$2)*('Active Spells'!$D$4:$D$1005)),MAX((Feats!$C$4:$C$1005=$A29)*(Feats!$D$4:$D$1005=G$2)*(Feats!$B$4:$B$1005)),MAX((Equipment!$A$7:$A$1013=1)*(Equipment!$B$7:$B$1013=$A29)*(Equipment!$C$7:$C$1013=G$2)*(Equipment!$G$7:$G$1013)))</f>
        <v>0</v>
      </c>
      <c r="H29" s="8">
        <f t="array" ref="H29">MAX(MAX(('Active Spells'!$C$4:$C$1005=1)*('Active Spells'!$E$4:$E$1005=$A29)*('Active Spells'!$F$4:$F$1005=H$2)*('Active Spells'!$D$4:$D$1005)),MAX((Feats!$C$4:$C$1005=$A29)*(Feats!$D$4:$D$1005=H$2)*(Feats!$B$4:$B$1005)),MAX((Equipment!$A$7:$A$1013=1)*(Equipment!$B$7:$B$1013=$A29)*(Equipment!$C$7:$C$1013=H$2)*(Equipment!$G$7:$G$1013)))</f>
        <v>0</v>
      </c>
      <c r="I29" s="8">
        <f t="array" ref="I29">MAX(MAX(('Active Spells'!$C$4:$C$1005=1)*('Active Spells'!$E$4:$E$1005=$A29)*('Active Spells'!$F$4:$F$1005=I$2)*('Active Spells'!$D$4:$D$1005)),MAX((Feats!$C$4:$C$1005=$A29)*(Feats!$D$4:$D$1005=I$2)*(Feats!$B$4:$B$1005)),MAX((Equipment!$A$7:$A$1013=1)*(Equipment!$B$7:$B$1013=$A29)*(Equipment!$C$7:$C$1013=I$2)*(Equipment!$G$7:$G$1013)))</f>
        <v>0</v>
      </c>
      <c r="J29" s="8">
        <f t="array" ref="J29">MAX(MAX(('Active Spells'!$C$4:$C$1005=1)*('Active Spells'!$E$4:$E$1005=$A29)*('Active Spells'!$F$4:$F$1005=J$2)*('Active Spells'!$D$4:$D$1005)),MAX((Feats!$C$4:$C$1005=$A29)*(Feats!$D$4:$D$1005=J$2)*(Feats!$B$4:$B$1005)),MAX((Equipment!$A$7:$A$1013=1)*(Equipment!$B$7:$B$1013=$A29)*(Equipment!$C$7:$C$1013=J$2)*(Equipment!$G$7:$G$1013)))</f>
        <v>0</v>
      </c>
      <c r="K29" s="8">
        <f t="array" ref="K29">MAX(MAX(('Active Spells'!$C$4:$C$1005=1)*('Active Spells'!$E$4:$E$1005=$A29)*('Active Spells'!$F$4:$F$1005=K$2)*('Active Spells'!$D$4:$D$1005)),MAX((Feats!$C$4:$C$1005=$A29)*(Feats!$D$4:$D$1005=K$2)*(Feats!$B$4:$B$1005)),MAX((Equipment!$A$7:$A$1013=1)*(Equipment!$B$7:$B$1013=$A29)*(Equipment!$C$7:$C$1013=K$2)*(Equipment!$G$7:$G$1013)))</f>
        <v>0</v>
      </c>
      <c r="L29" s="8">
        <f t="array" ref="L29">MAX(MAX(('Active Spells'!$C$4:$C$1005=1)*('Active Spells'!$E$4:$E$1005=$A29)*('Active Spells'!$F$4:$F$1005=L$2)*('Active Spells'!$D$4:$D$1005)),MAX((Feats!$C$4:$C$1005=$A29)*(Feats!$D$4:$D$1005=L$2)*(Feats!$B$4:$B$1005)),MAX((Equipment!$A$7:$A$1013=1)*(Equipment!$B$7:$B$1013=$A29)*(Equipment!$C$7:$C$1013=L$2)*(Equipment!$G$7:$G$1013)))</f>
        <v>0</v>
      </c>
      <c r="M29" s="8">
        <f t="array" ref="M29">MAX(MAX(('Active Spells'!$C$4:$C$1005=1)*('Active Spells'!$E$4:$E$1005=$A29)*('Active Spells'!$F$4:$F$1005=M$2)*('Active Spells'!$D$4:$D$1005),('Active Spells'!$C$4:$C$1005=1)*('Active Spells'!$E$4:$E$1005=$A29)*('Active Spells'!$F$4:$F$1005="Saves")*('Active Spells'!$D$4:$D$1005)),MAX((Feats!$C$4:$C$1005=$A29)*(Feats!$D$4:$D$1005=M$2)*(Feats!$B$4:$B$1005),(Feats!$C$4:$C$1005=$A29)*(Feats!$D$4:$D$1005="Saves")*(Feats!$B$4:$B$1005)),MAX((Equipment!$A$7:$A$1013=1)*(Equipment!$B$7:$B$1013=$A29)*(Equipment!$C$7:$C$1013=M$2)*(Equipment!$G$7:$G$1013),(Equipment!$A$7:$A$1013=1)*(Equipment!$B$7:$B$1013=$A29)*(Equipment!$C$7:$C$1013="Saves")*(Equipment!$G$7:$G$1013)))</f>
        <v>0</v>
      </c>
      <c r="N29" s="8">
        <f t="array" ref="N29">MAX(MAX(('Active Spells'!$C$4:$C$1005=1)*('Active Spells'!$E$4:$E$1005=$A29)*('Active Spells'!$F$4:$F$1005=N$2)*('Active Spells'!$D$4:$D$1005),('Active Spells'!$C$4:$C$1005=1)*('Active Spells'!$E$4:$E$1005=$A29)*('Active Spells'!$F$4:$F$1005="Saves")*('Active Spells'!$D$4:$D$1005)),MAX((Feats!$C$4:$C$1005=$A29)*(Feats!$D$4:$D$1005=N$2)*(Feats!$B$4:$B$1005),(Feats!$C$4:$C$1005=$A29)*(Feats!$D$4:$D$1005="Saves")*(Feats!$B$4:$B$1005)),MAX((Equipment!$A$7:$A$1013=1)*(Equipment!$B$7:$B$1013=$A29)*(Equipment!$C$7:$C$1013=N$2)*(Equipment!$G$7:$G$1013),(Equipment!$A$7:$A$1013=1)*(Equipment!$B$7:$B$1013=$A29)*(Equipment!$C$7:$C$1013="Saves")*(Equipment!$G$7:$G$1013)))</f>
        <v>0</v>
      </c>
      <c r="O29" s="8">
        <f t="array" ref="O29">MAX(MAX(('Active Spells'!$C$4:$C$1005=1)*('Active Spells'!$E$4:$E$1005=$A29)*('Active Spells'!$F$4:$F$1005=O$2)*('Active Spells'!$D$4:$D$1005),('Active Spells'!$C$4:$C$1005=1)*('Active Spells'!$E$4:$E$1005=$A29)*('Active Spells'!$F$4:$F$1005="Saves")*('Active Spells'!$D$4:$D$1005)),MAX((Feats!$C$4:$C$1005=$A29)*(Feats!$D$4:$D$1005=O$2)*(Feats!$B$4:$B$1005),(Feats!$C$4:$C$1005=$A29)*(Feats!$D$4:$D$1005="Saves")*(Feats!$B$4:$B$1005)),MAX((Equipment!$A$7:$A$1013=1)*(Equipment!$B$7:$B$1013=$A29)*(Equipment!$C$7:$C$1013=O$2)*(Equipment!$G$7:$G$1013),(Equipment!$A$7:$A$1013=1)*(Equipment!$B$7:$B$1013=$A29)*(Equipment!$C$7:$C$1013="Saves")*(Equipment!$G$7:$G$1013)))</f>
        <v>0</v>
      </c>
      <c r="P29" s="8">
        <f t="array" ref="P29">MAX(MAX(('Active Spells'!$C$4:$C$1005=1)*('Active Spells'!$E$4:$E$1005=$A29)*('Active Spells'!$F$4:$F$1005=P$2)*('Active Spells'!$D$4:$D$1005)),MAX((Feats!$C$4:$C$1005=$A29)*(Feats!$D$4:$D$1005=P$2)*(Feats!$B$4:$B$1005)),MAX((Equipment!$A$7:$A$1013=1)*(Equipment!$B$7:$B$1013=$A29)*(Equipment!$C$7:$C$1013=P$2)*(Equipment!$G$7:$G$1013)))</f>
        <v>0</v>
      </c>
      <c r="Q29" s="8">
        <f t="array" ref="Q29">MAX(MAX(('Active Spells'!$C$4:$C$1005=1)*('Active Spells'!$E$4:$E$1005=$A29)*('Active Spells'!$F$4:$F$1005=Q$2)*('Active Spells'!$D$4:$D$1005)),MAX((Feats!$C$4:$C$1005=$A29)*(Feats!$D$4:$D$1005=Q$2)*(Feats!$B$4:$B$1005)),MAX((Equipment!$A$7:$A$1013=1)*(Equipment!$B$7:$B$1013=$A29)*(Equipment!$C$7:$C$1013=Q$2)*(Equipment!$G$7:$G$1013)))</f>
        <v>0</v>
      </c>
      <c r="R29" s="8">
        <f t="array" ref="R29">MAX(MAX(('Active Spells'!$C$4:$C$1005=1)*('Active Spells'!$E$4:$E$1005=$A29)*('Active Spells'!$F$4:$F$1005=R$2)*('Active Spells'!$D$4:$D$1005)),MAX((Feats!$C$4:$C$1005=$A29)*(Feats!$D$4:$D$1005=R$2)*(Feats!$B$4:$B$1005)),MAX((Equipment!$A$7:$A$1013=1)*(Equipment!$B$7:$B$1013=$A29)*(Equipment!$C$7:$C$1013=R$2)*(Equipment!$G$7:$G$1013)))</f>
        <v>0</v>
      </c>
      <c r="S29" s="8">
        <f t="array" ref="S29">MAX(MAX(('Active Spells'!$C$4:$C$1005=1)*('Active Spells'!$E$4:$E$1005=$A29)*('Active Spells'!$F$4:$F$1005=S$2)*('Active Spells'!$D$4:$D$1005)),MAX((Feats!$C$4:$C$1005=$A29)*(Feats!$D$4:$D$1005=S$2)*(Feats!$B$4:$B$1005)),MAX((Equipment!$A$7:$A$1013=1)*(Equipment!$B$7:$B$1013=$A29)*(Equipment!$C$7:$C$1013=S$2)*(Equipment!$G$7:$G$1013)))</f>
        <v>0</v>
      </c>
      <c r="T29" s="8">
        <f t="array" ref="T29">MAX(MAX(('Active Spells'!$C$4:$C$1005=1)*('Active Spells'!$E$4:$E$1005=$A29)*('Active Spells'!$F$4:$F$1005=T$2)*('Active Spells'!$D$4:$D$1005)),MAX((Feats!$C$4:$C$1005=$A29)*(Feats!$D$4:$D$1005=T$2)*(Feats!$B$4:$B$1005)),MAX((Equipment!$A$7:$A$1013=1)*(Equipment!$B$7:$B$1013=$A29)*(Equipment!$C$7:$C$1013=T$2)*(Equipment!$G$7:$G$1013)))</f>
        <v>0</v>
      </c>
      <c r="U29" s="8">
        <f t="array" ref="U29">MAX(MAX(('Active Spells'!$C$4:$C$1005=1)*('Active Spells'!$E$4:$E$1005=$A29)*('Active Spells'!$F$4:$F$1005=U$2)*('Active Spells'!$D$4:$D$1005)),MAX((Feats!$C$4:$C$1005=$A29)*(Feats!$D$4:$D$1005=U$2)*(Feats!$B$4:$B$1005)),MAX((Equipment!$A$7:$A$1013=1)*(Equipment!$B$7:$B$1013=$A29)*(Equipment!$C$7:$C$1013=U$2)*(Equipment!$G$7:$G$1013)))</f>
        <v>0</v>
      </c>
      <c r="V29" s="8">
        <f t="array" ref="V29">MAX(MAX(('Active Spells'!$C$4:$C$1005=1)*('Active Spells'!$E$4:$E$1005=$A29)*('Active Spells'!$F$4:$F$1005=V$2)*('Active Spells'!$D$4:$D$1005)),MAX((Feats!$C$4:$C$1005=$A29)*(Feats!$D$4:$D$1005=V$2)*(Feats!$B$4:$B$1005)),MAX((Equipment!$A$7:$A$1013=1)*(Equipment!$B$7:$B$1013=$A29)*(Equipment!$C$7:$C$1013=V$2)*(Equipment!$G$7:$G$1013)))</f>
        <v>0</v>
      </c>
      <c r="W29" s="8">
        <f t="array" ref="W29">MAX(MAX(('Active Spells'!$C$4:$C$1005=1)*('Active Spells'!$E$4:$E$1005=$A29)*('Active Spells'!$F$4:$F$1005=W$2)*('Active Spells'!$D$4:$D$1005)),MAX((Feats!$C$4:$C$1005=$A29)*(Feats!$D$4:$D$1005=W$2)*(Feats!$B$4:$B$1005)),MAX((Equipment!$A$7:$A$1013=1)*(Equipment!$B$7:$B$1013=$A29)*(Equipment!$C$7:$C$1013=W$2)*(Equipment!$G$7:$G$1013)))</f>
        <v>0</v>
      </c>
      <c r="X29" s="8">
        <f t="array" ref="X29">MAX(MAX(('Active Spells'!$C$4:$C$1005=1)*('Active Spells'!$E$4:$E$1005=$A29)*('Active Spells'!$F$4:$F$1005=X$2)*('Active Spells'!$D$4:$D$1005)),MAX((Feats!$C$4:$C$1005=$A29)*(Feats!$D$4:$D$1005=X$2)*(Feats!$B$4:$B$1005)),MAX((Equipment!$A$7:$A$1013=1)*(Equipment!$B$7:$B$1013=$A29)*(Equipment!$C$7:$C$1013=X$2)*(Equipment!$G$7:$G$1013)))</f>
        <v>0</v>
      </c>
      <c r="Y29" s="8">
        <f t="array" ref="Y29">MAX(MAX(('Active Spells'!$C$4:$C$1005=1)*('Active Spells'!$E$4:$E$1005=$A29)*('Active Spells'!$F$4:$F$1005=Y$2)*('Active Spells'!$D$4:$D$1005)),MAX((Feats!$C$4:$C$1005=$A29)*(Feats!$D$4:$D$1005=Y$2)*(Feats!$B$4:$B$1005)),MAX((Equipment!$A$7:$A$1013=1)*(Equipment!$B$7:$B$1013=$A29)*(Equipment!$C$7:$C$1013=Y$2)*(Equipment!$G$7:$G$1013)))</f>
        <v>0</v>
      </c>
      <c r="Z29" s="8">
        <f t="array" ref="Z29">MAX(MAX(('Active Spells'!$C$4:$C$1005=1)*('Active Spells'!$E$4:$E$1005=$A29)*('Active Spells'!$F$4:$F$1005=Z$2)*('Active Spells'!$D$4:$D$1005)),MAX((Feats!$C$4:$C$1005=$A29)*(Feats!$D$4:$D$1005=Z$2)*(Feats!$B$4:$B$1005)),MAX((Equipment!$A$7:$A$1013=1)*(Equipment!$B$7:$B$1013=$A29)*(Equipment!$C$7:$C$1013=Z$2)*(Equipment!$G$7:$G$1013)))</f>
        <v>0</v>
      </c>
      <c r="AA29" s="8">
        <f t="array" ref="AA29">MAX(MAX(('Active Spells'!$C$4:$C$1005=1)*('Active Spells'!$E$4:$E$1005=$A29)*('Active Spells'!$F$4:$F$1005=AA$2)*('Active Spells'!$D$4:$D$1005)),MAX((Feats!$C$4:$C$1005=$A29)*(Feats!$D$4:$D$1005=AA$2)*(Feats!$B$4:$B$1005)),MAX((Equipment!$A$7:$A$1013=1)*(Equipment!$B$7:$B$1013=$A29)*(Equipment!$C$7:$C$1013=AA$2)*(Equipment!$G$7:$G$1013)))</f>
        <v>0</v>
      </c>
    </row>
    <row r="30" spans="1:27" x14ac:dyDescent="0.2">
      <c r="A30" s="6" t="s">
        <v>262</v>
      </c>
      <c r="B30" s="8">
        <f t="array" ref="B30">MAX(MAX(('Active Spells'!$C$4:$C$1005=1)*('Active Spells'!$E$4:$E$1005=$A30)*('Active Spells'!$F$4:$F$1005=B$2)*('Active Spells'!$D$4:$D$1005)),MAX((Feats!$C$4:$C$1005=$A30)*(Feats!$D$4:$D$1005=B$2)*(Feats!$B$4:$B$1005)),MAX((Equipment!$A$7:$A$1013=1)*(Equipment!$B$7:$B$1013=$A30)*(Equipment!$C$7:$C$1013=B$2)*(Equipment!$G$7:$G$1013)))</f>
        <v>0</v>
      </c>
      <c r="C30" s="8">
        <f t="array" ref="C30">MAX(MAX(('Active Spells'!$C$4:$C$1005=1)*('Active Spells'!$E$4:$E$1005=$A30)*('Active Spells'!$F$4:$F$1005=C$2)*('Active Spells'!$D$4:$D$1005)),MAX((Feats!$C$4:$C$1005=$A30)*(Feats!$D$4:$D$1005=C$2)*(Feats!$B$4:$B$1005)),MAX((Equipment!$A$7:$A$1013=1)*(Equipment!$B$7:$B$1013=$A30)*(Equipment!$C$7:$C$1013=C$2)*(Equipment!$G$7:$G$1013)))</f>
        <v>0</v>
      </c>
      <c r="D30" s="8">
        <f t="array" ref="D30">MAX(MAX(('Active Spells'!$C$4:$C$1005=1)*('Active Spells'!$E$4:$E$1005=$A30)*('Active Spells'!$F$4:$F$1005=D$2)*('Active Spells'!$D$4:$D$1005)),MAX((Feats!$C$4:$C$1005=$A30)*(Feats!$D$4:$D$1005=D$2)*(Feats!$B$4:$B$1005)),MAX((Equipment!$A$7:$A$1013=1)*(Equipment!$B$7:$B$1013=$A30)*(Equipment!$C$7:$C$1013=D$2)*(Equipment!$G$7:$G$1013)))</f>
        <v>0</v>
      </c>
      <c r="E30" s="8">
        <f t="array" ref="E30">MAX(MAX(('Active Spells'!$C$4:$C$1005=1)*('Active Spells'!$E$4:$E$1005=$A30)*('Active Spells'!$F$4:$F$1005=E$2)*('Active Spells'!$D$4:$D$1005)),MAX((Feats!$C$4:$C$1005=$A30)*(Feats!$D$4:$D$1005=E$2)*(Feats!$B$4:$B$1005)),MAX((Equipment!$A$7:$A$1013=1)*(Equipment!$B$7:$B$1013=$A30)*(Equipment!$C$7:$C$1013=E$2)*(Equipment!$G$7:$G$1013)))</f>
        <v>0</v>
      </c>
      <c r="F30" s="8">
        <f t="array" ref="F30">MAX(MAX(('Active Spells'!$C$4:$C$1005=1)*('Active Spells'!$E$4:$E$1005=$A30)*('Active Spells'!$F$4:$F$1005=F$2)*('Active Spells'!$D$4:$D$1005)),MAX((Feats!$C$4:$C$1005=$A30)*(Feats!$D$4:$D$1005=F$2)*(Feats!$B$4:$B$1005)),MAX((Equipment!$A$7:$A$1013=1)*(Equipment!$B$7:$B$1013=$A30)*(Equipment!$C$7:$C$1013=F$2)*(Equipment!$G$7:$G$1013)))</f>
        <v>0</v>
      </c>
      <c r="G30" s="8">
        <f t="array" ref="G30">MAX(MAX(('Active Spells'!$C$4:$C$1005=1)*('Active Spells'!$E$4:$E$1005=$A30)*('Active Spells'!$F$4:$F$1005=G$2)*('Active Spells'!$D$4:$D$1005)),MAX((Feats!$C$4:$C$1005=$A30)*(Feats!$D$4:$D$1005=G$2)*(Feats!$B$4:$B$1005)),MAX((Equipment!$A$7:$A$1013=1)*(Equipment!$B$7:$B$1013=$A30)*(Equipment!$C$7:$C$1013=G$2)*(Equipment!$G$7:$G$1013)))</f>
        <v>0</v>
      </c>
      <c r="H30" s="8">
        <f t="array" ref="H30">MAX(MAX(('Active Spells'!$C$4:$C$1005=1)*('Active Spells'!$E$4:$E$1005=$A30)*('Active Spells'!$F$4:$F$1005=H$2)*('Active Spells'!$D$4:$D$1005)),MAX((Feats!$C$4:$C$1005=$A30)*(Feats!$D$4:$D$1005=H$2)*(Feats!$B$4:$B$1005)),MAX((Equipment!$A$7:$A$1013=1)*(Equipment!$B$7:$B$1013=$A30)*(Equipment!$C$7:$C$1013=H$2)*(Equipment!$G$7:$G$1013)))</f>
        <v>0</v>
      </c>
      <c r="I30" s="8">
        <f t="array" ref="I30">MAX(MAX(('Active Spells'!$C$4:$C$1005=1)*('Active Spells'!$E$4:$E$1005=$A30)*('Active Spells'!$F$4:$F$1005=I$2)*('Active Spells'!$D$4:$D$1005)),MAX((Feats!$C$4:$C$1005=$A30)*(Feats!$D$4:$D$1005=I$2)*(Feats!$B$4:$B$1005)),MAX((Equipment!$A$7:$A$1013=1)*(Equipment!$B$7:$B$1013=$A30)*(Equipment!$C$7:$C$1013=I$2)*(Equipment!$G$7:$G$1013)))</f>
        <v>0</v>
      </c>
      <c r="J30" s="8">
        <f t="array" ref="J30">MAX(MAX(('Active Spells'!$C$4:$C$1005=1)*('Active Spells'!$E$4:$E$1005=$A30)*('Active Spells'!$F$4:$F$1005=J$2)*('Active Spells'!$D$4:$D$1005)),MAX((Feats!$C$4:$C$1005=$A30)*(Feats!$D$4:$D$1005=J$2)*(Feats!$B$4:$B$1005)),MAX((Equipment!$A$7:$A$1013=1)*(Equipment!$B$7:$B$1013=$A30)*(Equipment!$C$7:$C$1013=J$2)*(Equipment!$G$7:$G$1013)))</f>
        <v>0</v>
      </c>
      <c r="K30" s="8">
        <f t="array" ref="K30">MAX(MAX(('Active Spells'!$C$4:$C$1005=1)*('Active Spells'!$E$4:$E$1005=$A30)*('Active Spells'!$F$4:$F$1005=K$2)*('Active Spells'!$D$4:$D$1005)),MAX((Feats!$C$4:$C$1005=$A30)*(Feats!$D$4:$D$1005=K$2)*(Feats!$B$4:$B$1005)),MAX((Equipment!$A$7:$A$1013=1)*(Equipment!$B$7:$B$1013=$A30)*(Equipment!$C$7:$C$1013=K$2)*(Equipment!$G$7:$G$1013)))</f>
        <v>0</v>
      </c>
      <c r="L30" s="8">
        <f t="array" ref="L30">MAX(MAX(('Active Spells'!$C$4:$C$1005=1)*('Active Spells'!$E$4:$E$1005=$A30)*('Active Spells'!$F$4:$F$1005=L$2)*('Active Spells'!$D$4:$D$1005)),MAX((Feats!$C$4:$C$1005=$A30)*(Feats!$D$4:$D$1005=L$2)*(Feats!$B$4:$B$1005)),MAX((Equipment!$A$7:$A$1013=1)*(Equipment!$B$7:$B$1013=$A30)*(Equipment!$C$7:$C$1013=L$2)*(Equipment!$G$7:$G$1013)))</f>
        <v>0</v>
      </c>
      <c r="M30" s="8">
        <f t="array" ref="M30">MAX(MAX(('Active Spells'!$C$4:$C$1005=1)*('Active Spells'!$E$4:$E$1005=$A30)*('Active Spells'!$F$4:$F$1005=M$2)*('Active Spells'!$D$4:$D$1005),('Active Spells'!$C$4:$C$1005=1)*('Active Spells'!$E$4:$E$1005=$A30)*('Active Spells'!$F$4:$F$1005="Saves")*('Active Spells'!$D$4:$D$1005)),MAX((Feats!$C$4:$C$1005=$A30)*(Feats!$D$4:$D$1005=M$2)*(Feats!$B$4:$B$1005),(Feats!$C$4:$C$1005=$A30)*(Feats!$D$4:$D$1005="Saves")*(Feats!$B$4:$B$1005)),MAX((Equipment!$A$7:$A$1013=1)*(Equipment!$B$7:$B$1013=$A30)*(Equipment!$C$7:$C$1013=M$2)*(Equipment!$G$7:$G$1013),(Equipment!$A$7:$A$1013=1)*(Equipment!$B$7:$B$1013=$A30)*(Equipment!$C$7:$C$1013="Saves")*(Equipment!$G$7:$G$1013)))</f>
        <v>0</v>
      </c>
      <c r="N30" s="8">
        <f t="array" ref="N30">MAX(MAX(('Active Spells'!$C$4:$C$1005=1)*('Active Spells'!$E$4:$E$1005=$A30)*('Active Spells'!$F$4:$F$1005=N$2)*('Active Spells'!$D$4:$D$1005),('Active Spells'!$C$4:$C$1005=1)*('Active Spells'!$E$4:$E$1005=$A30)*('Active Spells'!$F$4:$F$1005="Saves")*('Active Spells'!$D$4:$D$1005)),MAX((Feats!$C$4:$C$1005=$A30)*(Feats!$D$4:$D$1005=N$2)*(Feats!$B$4:$B$1005),(Feats!$C$4:$C$1005=$A30)*(Feats!$D$4:$D$1005="Saves")*(Feats!$B$4:$B$1005)),MAX((Equipment!$A$7:$A$1013=1)*(Equipment!$B$7:$B$1013=$A30)*(Equipment!$C$7:$C$1013=N$2)*(Equipment!$G$7:$G$1013),(Equipment!$A$7:$A$1013=1)*(Equipment!$B$7:$B$1013=$A30)*(Equipment!$C$7:$C$1013="Saves")*(Equipment!$G$7:$G$1013)))</f>
        <v>0</v>
      </c>
      <c r="O30" s="8">
        <f t="array" ref="O30">MAX(MAX(('Active Spells'!$C$4:$C$1005=1)*('Active Spells'!$E$4:$E$1005=$A30)*('Active Spells'!$F$4:$F$1005=O$2)*('Active Spells'!$D$4:$D$1005),('Active Spells'!$C$4:$C$1005=1)*('Active Spells'!$E$4:$E$1005=$A30)*('Active Spells'!$F$4:$F$1005="Saves")*('Active Spells'!$D$4:$D$1005)),MAX((Feats!$C$4:$C$1005=$A30)*(Feats!$D$4:$D$1005=O$2)*(Feats!$B$4:$B$1005),(Feats!$C$4:$C$1005=$A30)*(Feats!$D$4:$D$1005="Saves")*(Feats!$B$4:$B$1005)),MAX((Equipment!$A$7:$A$1013=1)*(Equipment!$B$7:$B$1013=$A30)*(Equipment!$C$7:$C$1013=O$2)*(Equipment!$G$7:$G$1013),(Equipment!$A$7:$A$1013=1)*(Equipment!$B$7:$B$1013=$A30)*(Equipment!$C$7:$C$1013="Saves")*(Equipment!$G$7:$G$1013)))</f>
        <v>0</v>
      </c>
      <c r="P30" s="8">
        <f t="array" ref="P30">MAX(MAX(('Active Spells'!$C$4:$C$1005=1)*('Active Spells'!$E$4:$E$1005=$A30)*('Active Spells'!$F$4:$F$1005=P$2)*('Active Spells'!$D$4:$D$1005)),MAX((Feats!$C$4:$C$1005=$A30)*(Feats!$D$4:$D$1005=P$2)*(Feats!$B$4:$B$1005)),MAX((Equipment!$A$7:$A$1013=1)*(Equipment!$B$7:$B$1013=$A30)*(Equipment!$C$7:$C$1013=P$2)*(Equipment!$G$7:$G$1013)))</f>
        <v>0</v>
      </c>
      <c r="Q30" s="8">
        <f t="array" ref="Q30">MAX(MAX(('Active Spells'!$C$4:$C$1005=1)*('Active Spells'!$E$4:$E$1005=$A30)*('Active Spells'!$F$4:$F$1005=Q$2)*('Active Spells'!$D$4:$D$1005)),MAX((Feats!$C$4:$C$1005=$A30)*(Feats!$D$4:$D$1005=Q$2)*(Feats!$B$4:$B$1005)),MAX((Equipment!$A$7:$A$1013=1)*(Equipment!$B$7:$B$1013=$A30)*(Equipment!$C$7:$C$1013=Q$2)*(Equipment!$G$7:$G$1013)))</f>
        <v>0</v>
      </c>
      <c r="R30" s="8">
        <f t="array" ref="R30">MAX(MAX(('Active Spells'!$C$4:$C$1005=1)*('Active Spells'!$E$4:$E$1005=$A30)*('Active Spells'!$F$4:$F$1005=R$2)*('Active Spells'!$D$4:$D$1005)),MAX((Feats!$C$4:$C$1005=$A30)*(Feats!$D$4:$D$1005=R$2)*(Feats!$B$4:$B$1005)),MAX((Equipment!$A$7:$A$1013=1)*(Equipment!$B$7:$B$1013=$A30)*(Equipment!$C$7:$C$1013=R$2)*(Equipment!$G$7:$G$1013)))</f>
        <v>0</v>
      </c>
      <c r="S30" s="8">
        <f t="array" ref="S30">MAX(MAX(('Active Spells'!$C$4:$C$1005=1)*('Active Spells'!$E$4:$E$1005=$A30)*('Active Spells'!$F$4:$F$1005=S$2)*('Active Spells'!$D$4:$D$1005)),MAX((Feats!$C$4:$C$1005=$A30)*(Feats!$D$4:$D$1005=S$2)*(Feats!$B$4:$B$1005)),MAX((Equipment!$A$7:$A$1013=1)*(Equipment!$B$7:$B$1013=$A30)*(Equipment!$C$7:$C$1013=S$2)*(Equipment!$G$7:$G$1013)))</f>
        <v>0</v>
      </c>
      <c r="T30" s="8">
        <f t="array" ref="T30">MAX(MAX(('Active Spells'!$C$4:$C$1005=1)*('Active Spells'!$E$4:$E$1005=$A30)*('Active Spells'!$F$4:$F$1005=T$2)*('Active Spells'!$D$4:$D$1005)),MAX((Feats!$C$4:$C$1005=$A30)*(Feats!$D$4:$D$1005=T$2)*(Feats!$B$4:$B$1005)),MAX((Equipment!$A$7:$A$1013=1)*(Equipment!$B$7:$B$1013=$A30)*(Equipment!$C$7:$C$1013=T$2)*(Equipment!$G$7:$G$1013)))</f>
        <v>0</v>
      </c>
      <c r="U30" s="8">
        <f t="array" ref="U30">MAX(MAX(('Active Spells'!$C$4:$C$1005=1)*('Active Spells'!$E$4:$E$1005=$A30)*('Active Spells'!$F$4:$F$1005=U$2)*('Active Spells'!$D$4:$D$1005)),MAX((Feats!$C$4:$C$1005=$A30)*(Feats!$D$4:$D$1005=U$2)*(Feats!$B$4:$B$1005)),MAX((Equipment!$A$7:$A$1013=1)*(Equipment!$B$7:$B$1013=$A30)*(Equipment!$C$7:$C$1013=U$2)*(Equipment!$G$7:$G$1013)))</f>
        <v>0</v>
      </c>
      <c r="V30" s="8">
        <f t="array" ref="V30">MAX(MAX(('Active Spells'!$C$4:$C$1005=1)*('Active Spells'!$E$4:$E$1005=$A30)*('Active Spells'!$F$4:$F$1005=V$2)*('Active Spells'!$D$4:$D$1005)),MAX((Feats!$C$4:$C$1005=$A30)*(Feats!$D$4:$D$1005=V$2)*(Feats!$B$4:$B$1005)),MAX((Equipment!$A$7:$A$1013=1)*(Equipment!$B$7:$B$1013=$A30)*(Equipment!$C$7:$C$1013=V$2)*(Equipment!$G$7:$G$1013)))</f>
        <v>0</v>
      </c>
      <c r="W30" s="8">
        <f t="array" ref="W30">MAX(MAX(('Active Spells'!$C$4:$C$1005=1)*('Active Spells'!$E$4:$E$1005=$A30)*('Active Spells'!$F$4:$F$1005=W$2)*('Active Spells'!$D$4:$D$1005)),MAX((Feats!$C$4:$C$1005=$A30)*(Feats!$D$4:$D$1005=W$2)*(Feats!$B$4:$B$1005)),MAX((Equipment!$A$7:$A$1013=1)*(Equipment!$B$7:$B$1013=$A30)*(Equipment!$C$7:$C$1013=W$2)*(Equipment!$G$7:$G$1013)))</f>
        <v>0</v>
      </c>
      <c r="X30" s="8">
        <f t="array" ref="X30">MAX(MAX(('Active Spells'!$C$4:$C$1005=1)*('Active Spells'!$E$4:$E$1005=$A30)*('Active Spells'!$F$4:$F$1005=X$2)*('Active Spells'!$D$4:$D$1005)),MAX((Feats!$C$4:$C$1005=$A30)*(Feats!$D$4:$D$1005=X$2)*(Feats!$B$4:$B$1005)),MAX((Equipment!$A$7:$A$1013=1)*(Equipment!$B$7:$B$1013=$A30)*(Equipment!$C$7:$C$1013=X$2)*(Equipment!$G$7:$G$1013)))</f>
        <v>0</v>
      </c>
      <c r="Y30" s="8">
        <f t="array" ref="Y30">MAX(MAX(('Active Spells'!$C$4:$C$1005=1)*('Active Spells'!$E$4:$E$1005=$A30)*('Active Spells'!$F$4:$F$1005=Y$2)*('Active Spells'!$D$4:$D$1005)),MAX((Feats!$C$4:$C$1005=$A30)*(Feats!$D$4:$D$1005=Y$2)*(Feats!$B$4:$B$1005)),MAX((Equipment!$A$7:$A$1013=1)*(Equipment!$B$7:$B$1013=$A30)*(Equipment!$C$7:$C$1013=Y$2)*(Equipment!$G$7:$G$1013)))</f>
        <v>0</v>
      </c>
      <c r="Z30" s="8">
        <f t="array" ref="Z30">MAX(MAX(('Active Spells'!$C$4:$C$1005=1)*('Active Spells'!$E$4:$E$1005=$A30)*('Active Spells'!$F$4:$F$1005=Z$2)*('Active Spells'!$D$4:$D$1005)),MAX((Feats!$C$4:$C$1005=$A30)*(Feats!$D$4:$D$1005=Z$2)*(Feats!$B$4:$B$1005)),MAX((Equipment!$A$7:$A$1013=1)*(Equipment!$B$7:$B$1013=$A30)*(Equipment!$C$7:$C$1013=Z$2)*(Equipment!$G$7:$G$1013)))</f>
        <v>0</v>
      </c>
      <c r="AA30" s="8">
        <f t="array" ref="AA30">MAX(MAX(('Active Spells'!$C$4:$C$1005=1)*('Active Spells'!$E$4:$E$1005=$A30)*('Active Spells'!$F$4:$F$1005=AA$2)*('Active Spells'!$D$4:$D$1005)),MAX((Feats!$C$4:$C$1005=$A30)*(Feats!$D$4:$D$1005=AA$2)*(Feats!$B$4:$B$1005)),MAX((Equipment!$A$7:$A$1013=1)*(Equipment!$B$7:$B$1013=$A30)*(Equipment!$C$7:$C$1013=AA$2)*(Equipment!$G$7:$G$1013)))</f>
        <v>0</v>
      </c>
    </row>
    <row r="31" spans="1:27" x14ac:dyDescent="0.2">
      <c r="A31" s="6" t="s">
        <v>263</v>
      </c>
      <c r="B31" s="8">
        <f t="array" ref="B31">MAX(MAX(('Active Spells'!$C$4:$C$1005=1)*('Active Spells'!$E$4:$E$1005=$A31)*('Active Spells'!$F$4:$F$1005=B$2)*('Active Spells'!$D$4:$D$1005)),MAX((Feats!$C$4:$C$1005=$A31)*(Feats!$D$4:$D$1005=B$2)*(Feats!$B$4:$B$1005)),MAX((Equipment!$A$7:$A$1013=1)*(Equipment!$B$7:$B$1013=$A31)*(Equipment!$C$7:$C$1013=B$2)*(Equipment!$G$7:$G$1013)))</f>
        <v>0</v>
      </c>
      <c r="C31" s="8">
        <f t="array" ref="C31">MAX(MAX(('Active Spells'!$C$4:$C$1005=1)*('Active Spells'!$E$4:$E$1005=$A31)*('Active Spells'!$F$4:$F$1005=C$2)*('Active Spells'!$D$4:$D$1005)),MAX((Feats!$C$4:$C$1005=$A31)*(Feats!$D$4:$D$1005=C$2)*(Feats!$B$4:$B$1005)),MAX((Equipment!$A$7:$A$1013=1)*(Equipment!$B$7:$B$1013=$A31)*(Equipment!$C$7:$C$1013=C$2)*(Equipment!$G$7:$G$1013)))</f>
        <v>0</v>
      </c>
      <c r="D31" s="8">
        <f t="array" ref="D31">MAX(MAX(('Active Spells'!$C$4:$C$1005=1)*('Active Spells'!$E$4:$E$1005=$A31)*('Active Spells'!$F$4:$F$1005=D$2)*('Active Spells'!$D$4:$D$1005)),MAX((Feats!$C$4:$C$1005=$A31)*(Feats!$D$4:$D$1005=D$2)*(Feats!$B$4:$B$1005)),MAX((Equipment!$A$7:$A$1013=1)*(Equipment!$B$7:$B$1013=$A31)*(Equipment!$C$7:$C$1013=D$2)*(Equipment!$G$7:$G$1013)))</f>
        <v>0</v>
      </c>
      <c r="E31" s="8">
        <f t="array" ref="E31">MAX(MAX(('Active Spells'!$C$4:$C$1005=1)*('Active Spells'!$E$4:$E$1005=$A31)*('Active Spells'!$F$4:$F$1005=E$2)*('Active Spells'!$D$4:$D$1005)),MAX((Feats!$C$4:$C$1005=$A31)*(Feats!$D$4:$D$1005=E$2)*(Feats!$B$4:$B$1005)),MAX((Equipment!$A$7:$A$1013=1)*(Equipment!$B$7:$B$1013=$A31)*(Equipment!$C$7:$C$1013=E$2)*(Equipment!$G$7:$G$1013)))</f>
        <v>0</v>
      </c>
      <c r="F31" s="8">
        <f t="array" ref="F31">MAX(MAX(('Active Spells'!$C$4:$C$1005=1)*('Active Spells'!$E$4:$E$1005=$A31)*('Active Spells'!$F$4:$F$1005=F$2)*('Active Spells'!$D$4:$D$1005)),MAX((Feats!$C$4:$C$1005=$A31)*(Feats!$D$4:$D$1005=F$2)*(Feats!$B$4:$B$1005)),MAX((Equipment!$A$7:$A$1013=1)*(Equipment!$B$7:$B$1013=$A31)*(Equipment!$C$7:$C$1013=F$2)*(Equipment!$G$7:$G$1013)))</f>
        <v>0</v>
      </c>
      <c r="G31" s="8">
        <f t="array" ref="G31">MAX(MAX(('Active Spells'!$C$4:$C$1005=1)*('Active Spells'!$E$4:$E$1005=$A31)*('Active Spells'!$F$4:$F$1005=G$2)*('Active Spells'!$D$4:$D$1005)),MAX((Feats!$C$4:$C$1005=$A31)*(Feats!$D$4:$D$1005=G$2)*(Feats!$B$4:$B$1005)),MAX((Equipment!$A$7:$A$1013=1)*(Equipment!$B$7:$B$1013=$A31)*(Equipment!$C$7:$C$1013=G$2)*(Equipment!$G$7:$G$1013)))</f>
        <v>0</v>
      </c>
      <c r="H31" s="8">
        <f t="array" ref="H31">MAX(MAX(('Active Spells'!$C$4:$C$1005=1)*('Active Spells'!$E$4:$E$1005=$A31)*('Active Spells'!$F$4:$F$1005=H$2)*('Active Spells'!$D$4:$D$1005)),MAX((Feats!$C$4:$C$1005=$A31)*(Feats!$D$4:$D$1005=H$2)*(Feats!$B$4:$B$1005)),MAX((Equipment!$A$7:$A$1013=1)*(Equipment!$B$7:$B$1013=$A31)*(Equipment!$C$7:$C$1013=H$2)*(Equipment!$G$7:$G$1013)))</f>
        <v>0</v>
      </c>
      <c r="I31" s="8">
        <f t="array" ref="I31">MAX(MAX(('Active Spells'!$C$4:$C$1005=1)*('Active Spells'!$E$4:$E$1005=$A31)*('Active Spells'!$F$4:$F$1005=I$2)*('Active Spells'!$D$4:$D$1005)),MAX((Feats!$C$4:$C$1005=$A31)*(Feats!$D$4:$D$1005=I$2)*(Feats!$B$4:$B$1005)),MAX((Equipment!$A$7:$A$1013=1)*(Equipment!$B$7:$B$1013=$A31)*(Equipment!$C$7:$C$1013=I$2)*(Equipment!$G$7:$G$1013)))</f>
        <v>0</v>
      </c>
      <c r="J31" s="8">
        <f t="array" ref="J31">MAX(MAX(('Active Spells'!$C$4:$C$1005=1)*('Active Spells'!$E$4:$E$1005=$A31)*('Active Spells'!$F$4:$F$1005=J$2)*('Active Spells'!$D$4:$D$1005)),MAX((Feats!$C$4:$C$1005=$A31)*(Feats!$D$4:$D$1005=J$2)*(Feats!$B$4:$B$1005)),MAX((Equipment!$A$7:$A$1013=1)*(Equipment!$B$7:$B$1013=$A31)*(Equipment!$C$7:$C$1013=J$2)*(Equipment!$G$7:$G$1013)))</f>
        <v>0</v>
      </c>
      <c r="K31" s="8">
        <f t="array" ref="K31">MAX(MAX(('Active Spells'!$C$4:$C$1005=1)*('Active Spells'!$E$4:$E$1005=$A31)*('Active Spells'!$F$4:$F$1005=K$2)*('Active Spells'!$D$4:$D$1005)),MAX((Feats!$C$4:$C$1005=$A31)*(Feats!$D$4:$D$1005=K$2)*(Feats!$B$4:$B$1005)),MAX((Equipment!$A$7:$A$1013=1)*(Equipment!$B$7:$B$1013=$A31)*(Equipment!$C$7:$C$1013=K$2)*(Equipment!$G$7:$G$1013)))</f>
        <v>0</v>
      </c>
      <c r="L31" s="8">
        <f t="array" ref="L31">MAX(MAX(('Active Spells'!$C$4:$C$1005=1)*('Active Spells'!$E$4:$E$1005=$A31)*('Active Spells'!$F$4:$F$1005=L$2)*('Active Spells'!$D$4:$D$1005)),MAX((Feats!$C$4:$C$1005=$A31)*(Feats!$D$4:$D$1005=L$2)*(Feats!$B$4:$B$1005)),MAX((Equipment!$A$7:$A$1013=1)*(Equipment!$B$7:$B$1013=$A31)*(Equipment!$C$7:$C$1013=L$2)*(Equipment!$G$7:$G$1013)))</f>
        <v>0</v>
      </c>
      <c r="M31" s="8">
        <f t="array" ref="M31">MAX(MAX(('Active Spells'!$C$4:$C$1005=1)*('Active Spells'!$E$4:$E$1005=$A31)*('Active Spells'!$F$4:$F$1005=M$2)*('Active Spells'!$D$4:$D$1005),('Active Spells'!$C$4:$C$1005=1)*('Active Spells'!$E$4:$E$1005=$A31)*('Active Spells'!$F$4:$F$1005="Saves")*('Active Spells'!$D$4:$D$1005)),MAX((Feats!$C$4:$C$1005=$A31)*(Feats!$D$4:$D$1005=M$2)*(Feats!$B$4:$B$1005),(Feats!$C$4:$C$1005=$A31)*(Feats!$D$4:$D$1005="Saves")*(Feats!$B$4:$B$1005)),MAX((Equipment!$A$7:$A$1013=1)*(Equipment!$B$7:$B$1013=$A31)*(Equipment!$C$7:$C$1013=M$2)*(Equipment!$G$7:$G$1013),(Equipment!$A$7:$A$1013=1)*(Equipment!$B$7:$B$1013=$A31)*(Equipment!$C$7:$C$1013="Saves")*(Equipment!$G$7:$G$1013)))</f>
        <v>0</v>
      </c>
      <c r="N31" s="8">
        <f t="array" ref="N31">MAX(MAX(('Active Spells'!$C$4:$C$1005=1)*('Active Spells'!$E$4:$E$1005=$A31)*('Active Spells'!$F$4:$F$1005=N$2)*('Active Spells'!$D$4:$D$1005),('Active Spells'!$C$4:$C$1005=1)*('Active Spells'!$E$4:$E$1005=$A31)*('Active Spells'!$F$4:$F$1005="Saves")*('Active Spells'!$D$4:$D$1005)),MAX((Feats!$C$4:$C$1005=$A31)*(Feats!$D$4:$D$1005=N$2)*(Feats!$B$4:$B$1005),(Feats!$C$4:$C$1005=$A31)*(Feats!$D$4:$D$1005="Saves")*(Feats!$B$4:$B$1005)),MAX((Equipment!$A$7:$A$1013=1)*(Equipment!$B$7:$B$1013=$A31)*(Equipment!$C$7:$C$1013=N$2)*(Equipment!$G$7:$G$1013),(Equipment!$A$7:$A$1013=1)*(Equipment!$B$7:$B$1013=$A31)*(Equipment!$C$7:$C$1013="Saves")*(Equipment!$G$7:$G$1013)))</f>
        <v>0</v>
      </c>
      <c r="O31" s="8">
        <f t="array" ref="O31">MAX(MAX(('Active Spells'!$C$4:$C$1005=1)*('Active Spells'!$E$4:$E$1005=$A31)*('Active Spells'!$F$4:$F$1005=O$2)*('Active Spells'!$D$4:$D$1005),('Active Spells'!$C$4:$C$1005=1)*('Active Spells'!$E$4:$E$1005=$A31)*('Active Spells'!$F$4:$F$1005="Saves")*('Active Spells'!$D$4:$D$1005)),MAX((Feats!$C$4:$C$1005=$A31)*(Feats!$D$4:$D$1005=O$2)*(Feats!$B$4:$B$1005),(Feats!$C$4:$C$1005=$A31)*(Feats!$D$4:$D$1005="Saves")*(Feats!$B$4:$B$1005)),MAX((Equipment!$A$7:$A$1013=1)*(Equipment!$B$7:$B$1013=$A31)*(Equipment!$C$7:$C$1013=O$2)*(Equipment!$G$7:$G$1013),(Equipment!$A$7:$A$1013=1)*(Equipment!$B$7:$B$1013=$A31)*(Equipment!$C$7:$C$1013="Saves")*(Equipment!$G$7:$G$1013)))</f>
        <v>0</v>
      </c>
      <c r="P31" s="8">
        <f t="array" ref="P31">MAX(MAX(('Active Spells'!$C$4:$C$1005=1)*('Active Spells'!$E$4:$E$1005=$A31)*('Active Spells'!$F$4:$F$1005=P$2)*('Active Spells'!$D$4:$D$1005)),MAX((Feats!$C$4:$C$1005=$A31)*(Feats!$D$4:$D$1005=P$2)*(Feats!$B$4:$B$1005)),MAX((Equipment!$A$7:$A$1013=1)*(Equipment!$B$7:$B$1013=$A31)*(Equipment!$C$7:$C$1013=P$2)*(Equipment!$G$7:$G$1013)))</f>
        <v>0</v>
      </c>
      <c r="Q31" s="8">
        <f t="array" ref="Q31">MAX(MAX(('Active Spells'!$C$4:$C$1005=1)*('Active Spells'!$E$4:$E$1005=$A31)*('Active Spells'!$F$4:$F$1005=Q$2)*('Active Spells'!$D$4:$D$1005)),MAX((Feats!$C$4:$C$1005=$A31)*(Feats!$D$4:$D$1005=Q$2)*(Feats!$B$4:$B$1005)),MAX((Equipment!$A$7:$A$1013=1)*(Equipment!$B$7:$B$1013=$A31)*(Equipment!$C$7:$C$1013=Q$2)*(Equipment!$G$7:$G$1013)))</f>
        <v>0</v>
      </c>
      <c r="R31" s="8">
        <f t="array" ref="R31">MAX(MAX(('Active Spells'!$C$4:$C$1005=1)*('Active Spells'!$E$4:$E$1005=$A31)*('Active Spells'!$F$4:$F$1005=R$2)*('Active Spells'!$D$4:$D$1005)),MAX((Feats!$C$4:$C$1005=$A31)*(Feats!$D$4:$D$1005=R$2)*(Feats!$B$4:$B$1005)),MAX((Equipment!$A$7:$A$1013=1)*(Equipment!$B$7:$B$1013=$A31)*(Equipment!$C$7:$C$1013=R$2)*(Equipment!$G$7:$G$1013)))</f>
        <v>0</v>
      </c>
      <c r="S31" s="8">
        <f t="array" ref="S31">MAX(MAX(('Active Spells'!$C$4:$C$1005=1)*('Active Spells'!$E$4:$E$1005=$A31)*('Active Spells'!$F$4:$F$1005=S$2)*('Active Spells'!$D$4:$D$1005)),MAX((Feats!$C$4:$C$1005=$A31)*(Feats!$D$4:$D$1005=S$2)*(Feats!$B$4:$B$1005)),MAX((Equipment!$A$7:$A$1013=1)*(Equipment!$B$7:$B$1013=$A31)*(Equipment!$C$7:$C$1013=S$2)*(Equipment!$G$7:$G$1013)))</f>
        <v>0</v>
      </c>
      <c r="T31" s="8">
        <f t="array" ref="T31">MAX(MAX(('Active Spells'!$C$4:$C$1005=1)*('Active Spells'!$E$4:$E$1005=$A31)*('Active Spells'!$F$4:$F$1005=T$2)*('Active Spells'!$D$4:$D$1005)),MAX((Feats!$C$4:$C$1005=$A31)*(Feats!$D$4:$D$1005=T$2)*(Feats!$B$4:$B$1005)),MAX((Equipment!$A$7:$A$1013=1)*(Equipment!$B$7:$B$1013=$A31)*(Equipment!$C$7:$C$1013=T$2)*(Equipment!$G$7:$G$1013)))</f>
        <v>0</v>
      </c>
      <c r="U31" s="8">
        <f t="array" ref="U31">MAX(MAX(('Active Spells'!$C$4:$C$1005=1)*('Active Spells'!$E$4:$E$1005=$A31)*('Active Spells'!$F$4:$F$1005=U$2)*('Active Spells'!$D$4:$D$1005)),MAX((Feats!$C$4:$C$1005=$A31)*(Feats!$D$4:$D$1005=U$2)*(Feats!$B$4:$B$1005)),MAX((Equipment!$A$7:$A$1013=1)*(Equipment!$B$7:$B$1013=$A31)*(Equipment!$C$7:$C$1013=U$2)*(Equipment!$G$7:$G$1013)))</f>
        <v>0</v>
      </c>
      <c r="V31" s="8">
        <f t="array" ref="V31">MAX(MAX(('Active Spells'!$C$4:$C$1005=1)*('Active Spells'!$E$4:$E$1005=$A31)*('Active Spells'!$F$4:$F$1005=V$2)*('Active Spells'!$D$4:$D$1005)),MAX((Feats!$C$4:$C$1005=$A31)*(Feats!$D$4:$D$1005=V$2)*(Feats!$B$4:$B$1005)),MAX((Equipment!$A$7:$A$1013=1)*(Equipment!$B$7:$B$1013=$A31)*(Equipment!$C$7:$C$1013=V$2)*(Equipment!$G$7:$G$1013)))</f>
        <v>0</v>
      </c>
      <c r="W31" s="8">
        <f t="array" ref="W31">MAX(MAX(('Active Spells'!$C$4:$C$1005=1)*('Active Spells'!$E$4:$E$1005=$A31)*('Active Spells'!$F$4:$F$1005=W$2)*('Active Spells'!$D$4:$D$1005)),MAX((Feats!$C$4:$C$1005=$A31)*(Feats!$D$4:$D$1005=W$2)*(Feats!$B$4:$B$1005)),MAX((Equipment!$A$7:$A$1013=1)*(Equipment!$B$7:$B$1013=$A31)*(Equipment!$C$7:$C$1013=W$2)*(Equipment!$G$7:$G$1013)))</f>
        <v>0</v>
      </c>
      <c r="X31" s="8">
        <f t="array" ref="X31">MAX(MAX(('Active Spells'!$C$4:$C$1005=1)*('Active Spells'!$E$4:$E$1005=$A31)*('Active Spells'!$F$4:$F$1005=X$2)*('Active Spells'!$D$4:$D$1005)),MAX((Feats!$C$4:$C$1005=$A31)*(Feats!$D$4:$D$1005=X$2)*(Feats!$B$4:$B$1005)),MAX((Equipment!$A$7:$A$1013=1)*(Equipment!$B$7:$B$1013=$A31)*(Equipment!$C$7:$C$1013=X$2)*(Equipment!$G$7:$G$1013)))</f>
        <v>0</v>
      </c>
      <c r="Y31" s="8">
        <f t="array" ref="Y31">MAX(MAX(('Active Spells'!$C$4:$C$1005=1)*('Active Spells'!$E$4:$E$1005=$A31)*('Active Spells'!$F$4:$F$1005=Y$2)*('Active Spells'!$D$4:$D$1005)),MAX((Feats!$C$4:$C$1005=$A31)*(Feats!$D$4:$D$1005=Y$2)*(Feats!$B$4:$B$1005)),MAX((Equipment!$A$7:$A$1013=1)*(Equipment!$B$7:$B$1013=$A31)*(Equipment!$C$7:$C$1013=Y$2)*(Equipment!$G$7:$G$1013)))</f>
        <v>0</v>
      </c>
      <c r="Z31" s="8">
        <f t="array" ref="Z31">MAX(MAX(('Active Spells'!$C$4:$C$1005=1)*('Active Spells'!$E$4:$E$1005=$A31)*('Active Spells'!$F$4:$F$1005=Z$2)*('Active Spells'!$D$4:$D$1005)),MAX((Feats!$C$4:$C$1005=$A31)*(Feats!$D$4:$D$1005=Z$2)*(Feats!$B$4:$B$1005)),MAX((Equipment!$A$7:$A$1013=1)*(Equipment!$B$7:$B$1013=$A31)*(Equipment!$C$7:$C$1013=Z$2)*(Equipment!$G$7:$G$1013)))</f>
        <v>0</v>
      </c>
      <c r="AA31" s="8">
        <f t="array" ref="AA31">MAX(MAX(('Active Spells'!$C$4:$C$1005=1)*('Active Spells'!$E$4:$E$1005=$A31)*('Active Spells'!$F$4:$F$1005=AA$2)*('Active Spells'!$D$4:$D$1005)),MAX((Feats!$C$4:$C$1005=$A31)*(Feats!$D$4:$D$1005=AA$2)*(Feats!$B$4:$B$1005)),MAX((Equipment!$A$7:$A$1013=1)*(Equipment!$B$7:$B$1013=$A31)*(Equipment!$C$7:$C$1013=AA$2)*(Equipment!$G$7:$G$1013)))</f>
        <v>0</v>
      </c>
    </row>
    <row r="32" spans="1:27" x14ac:dyDescent="0.2">
      <c r="A32" s="6" t="s">
        <v>27</v>
      </c>
      <c r="B32" s="8">
        <f t="array" ref="B32">SUM(SUM(('Active Spells'!$C$4:$C$1005=1)*('Active Spells'!$E$4:$E$1005=$A32)*('Active Spells'!$F$4:$F$1005=B$2)*('Active Spells'!$D$4:$D$1005)),SUM((Feats!$C$4:$C$1005=$A32)*(Feats!$D$4:$D$1005=B$2)*(Feats!$B$4:$B$1005)),SUM((Equipment!$A$7:$A$1013=1)*(Equipment!$B$7:$B$1013=$A32)*(Equipment!$C$7:$C$1013=B$2)*(Equipment!$G$7:$G$1013)))</f>
        <v>0</v>
      </c>
      <c r="C32" s="8">
        <f t="array" ref="C32">SUM(SUM(('Active Spells'!$C$4:$C$1005=1)*('Active Spells'!$E$4:$E$1005=$A32)*('Active Spells'!$F$4:$F$1005=C$2)*('Active Spells'!$D$4:$D$1005)),SUM((Feats!$C$4:$C$1005=$A32)*(Feats!$D$4:$D$1005=C$2)*(Feats!$B$4:$B$1005)),SUM((Equipment!$A$7:$A$1013=1)*(Equipment!$B$7:$B$1013=$A32)*(Equipment!$C$7:$C$1013=C$2)*(Equipment!$G$7:$G$1013)))</f>
        <v>0</v>
      </c>
      <c r="D32" s="8">
        <f t="array" ref="D32">SUM(SUM(('Active Spells'!$C$4:$C$1005=1)*('Active Spells'!$E$4:$E$1005=$A32)*('Active Spells'!$F$4:$F$1005=D$2)*('Active Spells'!$D$4:$D$1005)),SUM((Feats!$C$4:$C$1005=$A32)*(Feats!$D$4:$D$1005=D$2)*(Feats!$B$4:$B$1005)),SUM((Equipment!$A$7:$A$1013=1)*(Equipment!$B$7:$B$1013=$A32)*(Equipment!$C$7:$C$1013=D$2)*(Equipment!$G$7:$G$1013)))</f>
        <v>0</v>
      </c>
      <c r="E32" s="8">
        <f t="array" ref="E32">SUM(SUM(('Active Spells'!$C$4:$C$1005=1)*('Active Spells'!$E$4:$E$1005=$A32)*('Active Spells'!$F$4:$F$1005=E$2)*('Active Spells'!$D$4:$D$1005)),SUM((Feats!$C$4:$C$1005=$A32)*(Feats!$D$4:$D$1005=E$2)*(Feats!$B$4:$B$1005)),SUM((Equipment!$A$7:$A$1013=1)*(Equipment!$B$7:$B$1013=$A32)*(Equipment!$C$7:$C$1013=E$2)*(Equipment!$G$7:$G$1013)))</f>
        <v>0</v>
      </c>
      <c r="F32" s="8">
        <f t="array" ref="F32">SUM(SUM(('Active Spells'!$C$4:$C$1005=1)*('Active Spells'!$E$4:$E$1005=$A32)*('Active Spells'!$F$4:$F$1005=F$2)*('Active Spells'!$D$4:$D$1005)),SUM((Feats!$C$4:$C$1005=$A32)*(Feats!$D$4:$D$1005=F$2)*(Feats!$B$4:$B$1005)),SUM((Equipment!$A$7:$A$1013=1)*(Equipment!$B$7:$B$1013=$A32)*(Equipment!$C$7:$C$1013=F$2)*(Equipment!$G$7:$G$1013)))</f>
        <v>0</v>
      </c>
      <c r="G32" s="8">
        <f t="array" ref="G32">SUM(SUM(('Active Spells'!$C$4:$C$1005=1)*('Active Spells'!$E$4:$E$1005=$A32)*('Active Spells'!$F$4:$F$1005=G$2)*('Active Spells'!$D$4:$D$1005)),SUM((Feats!$C$4:$C$1005=$A32)*(Feats!$D$4:$D$1005=G$2)*(Feats!$B$4:$B$1005)),SUM((Equipment!$A$7:$A$1013=1)*(Equipment!$B$7:$B$1013=$A32)*(Equipment!$C$7:$C$1013=G$2)*(Equipment!$G$7:$G$1013)))</f>
        <v>0</v>
      </c>
      <c r="H32" s="8">
        <f t="array" ref="H32">SUM(SUM(('Active Spells'!$C$4:$C$1005=1)*('Active Spells'!$E$4:$E$1005=$A32)*('Active Spells'!$F$4:$F$1005=H$2)*('Active Spells'!$D$4:$D$1005)),SUM((Feats!$C$4:$C$1005=$A32)*(Feats!$D$4:$D$1005=H$2)*(Feats!$B$4:$B$1005)),SUM((Equipment!$A$7:$A$1013=1)*(Equipment!$B$7:$B$1013=$A32)*(Equipment!$C$7:$C$1013=H$2)*(Equipment!$G$7:$G$1013)))</f>
        <v>2</v>
      </c>
      <c r="I32" s="8">
        <f t="array" ref="I32">SUM(SUM(('Active Spells'!$C$4:$C$1005=1)*('Active Spells'!$E$4:$E$1005=$A32)*('Active Spells'!$F$4:$F$1005=I$2)*('Active Spells'!$D$4:$D$1005)),SUM((Feats!$C$4:$C$1005=$A32)*(Feats!$D$4:$D$1005=I$2)*(Feats!$B$4:$B$1005)),SUM((Equipment!$A$7:$A$1013=1)*(Equipment!$B$7:$B$1013=$A32)*(Equipment!$C$7:$C$1013=I$2)*(Equipment!$G$7:$G$1013)))</f>
        <v>0</v>
      </c>
      <c r="J32" s="8">
        <f t="array" ref="J32">SUM(SUM(('Active Spells'!$C$4:$C$1005=1)*('Active Spells'!$E$4:$E$1005=$A32)*('Active Spells'!$F$4:$F$1005=J$2)*('Active Spells'!$D$4:$D$1005)),SUM((Feats!$C$4:$C$1005=$A32)*(Feats!$D$4:$D$1005=J$2)*(Feats!$B$4:$B$1005)),SUM((Equipment!$A$7:$A$1013=1)*(Equipment!$B$7:$B$1013=$A32)*(Equipment!$C$7:$C$1013=J$2)*(Equipment!$G$7:$G$1013)))</f>
        <v>0</v>
      </c>
      <c r="K32" s="8">
        <f t="array" ref="K32">SUM(SUM(('Active Spells'!$C$4:$C$1005=1)*('Active Spells'!$E$4:$E$1005=$A32)*('Active Spells'!$F$4:$F$1005=K$2)*('Active Spells'!$D$4:$D$1005)),SUM((Feats!$C$4:$C$1005=$A32)*(Feats!$D$4:$D$1005=K$2)*(Feats!$B$4:$B$1005)),SUM((Equipment!$A$7:$A$1013=1)*(Equipment!$B$7:$B$1013=$A32)*(Equipment!$C$7:$C$1013=K$2)*(Equipment!$G$7:$G$1013)))</f>
        <v>0</v>
      </c>
      <c r="L32" s="8">
        <f t="array" ref="L32">SUM(SUM(('Active Spells'!$C$4:$C$1005=1)*('Active Spells'!$E$4:$E$1005=$A32)*('Active Spells'!$F$4:$F$1005=L$2)*('Active Spells'!$D$4:$D$1005)),SUM((Feats!$C$4:$C$1005=$A32)*(Feats!$D$4:$D$1005=L$2)*(Feats!$B$4:$B$1005)),SUM((Equipment!$A$7:$A$1013=1)*(Equipment!$B$7:$B$1013=$A32)*(Equipment!$C$7:$C$1013=L$2)*(Equipment!$G$7:$G$1013)))</f>
        <v>0</v>
      </c>
      <c r="M32" s="8">
        <f t="array" ref="M32">SUM(SUM(('Active Spells'!$C$4:$C$1005=1)*('Active Spells'!$E$4:$E$1005=$A32)*('Active Spells'!$F$4:$F$1005=M$2)*('Active Spells'!$D$4:$D$1005),('Active Spells'!$C$4:$C$1005=1)*('Active Spells'!$E$4:$E$1005=$A32)*('Active Spells'!$F$4:$F$1005="Saves")*('Active Spells'!$D$4:$D$1005)),SUM((Feats!$C$4:$C$1005=$A32)*(Feats!$D$4:$D$1005=M$2)*(Feats!$B$4:$B$1005),(Feats!$C$4:$C$1005=$A32)*(Feats!$D$4:$D$1005="Saves")*(Feats!$B$4:$B$1005)),SUM((Equipment!$A$7:$A$1013=1)*(Equipment!$B$7:$B$1013=$A32)*(Equipment!$C$7:$C$1013=M$2)*(Equipment!$G$7:$G$1013),(Equipment!$A$7:$A$1013=1)*(Equipment!$B$7:$B$1013=$A32)*(Equipment!$C$7:$C$1013="Saves")*(Equipment!$G$7:$G$1013)))</f>
        <v>0</v>
      </c>
      <c r="N32" s="8">
        <f t="array" ref="N32">SUM(SUM(('Active Spells'!$C$4:$C$1005=1)*('Active Spells'!$E$4:$E$1005=$A32)*('Active Spells'!$F$4:$F$1005=N$2)*('Active Spells'!$D$4:$D$1005),('Active Spells'!$C$4:$C$1005=1)*('Active Spells'!$E$4:$E$1005=$A32)*('Active Spells'!$F$4:$F$1005="Saves")*('Active Spells'!$D$4:$D$1005)),SUM((Feats!$C$4:$C$1005=$A32)*(Feats!$D$4:$D$1005=N$2)*(Feats!$B$4:$B$1005),(Feats!$C$4:$C$1005=$A32)*(Feats!$D$4:$D$1005="Saves")*(Feats!$B$4:$B$1005)),SUM((Equipment!$A$7:$A$1013=1)*(Equipment!$B$7:$B$1013=$A32)*(Equipment!$C$7:$C$1013=N$2)*(Equipment!$G$7:$G$1013),(Equipment!$A$7:$A$1013=1)*(Equipment!$B$7:$B$1013=$A32)*(Equipment!$C$7:$C$1013="Saves")*(Equipment!$G$7:$G$1013)))</f>
        <v>1</v>
      </c>
      <c r="O32" s="8">
        <f t="array" ref="O32">SUM(SUM(('Active Spells'!$C$4:$C$1005=1)*('Active Spells'!$E$4:$E$1005=$A32)*('Active Spells'!$F$4:$F$1005=O$2)*('Active Spells'!$D$4:$D$1005),('Active Spells'!$C$4:$C$1005=1)*('Active Spells'!$E$4:$E$1005=$A32)*('Active Spells'!$F$4:$F$1005="Saves")*('Active Spells'!$D$4:$D$1005)),SUM((Feats!$C$4:$C$1005=$A32)*(Feats!$D$4:$D$1005=O$2)*(Feats!$B$4:$B$1005),(Feats!$C$4:$C$1005=$A32)*(Feats!$D$4:$D$1005="Saves")*(Feats!$B$4:$B$1005)),SUM((Equipment!$A$7:$A$1013=1)*(Equipment!$B$7:$B$1013=$A32)*(Equipment!$C$7:$C$1013=O$2)*(Equipment!$G$7:$G$1013),(Equipment!$A$7:$A$1013=1)*(Equipment!$B$7:$B$1013=$A32)*(Equipment!$C$7:$C$1013="Saves")*(Equipment!$G$7:$G$1013)))</f>
        <v>0</v>
      </c>
      <c r="P32" s="8">
        <f t="array" ref="P32">SUM(SUM(('Active Spells'!$C$4:$C$1005=1)*('Active Spells'!$E$4:$E$1005=$A32)*('Active Spells'!$F$4:$F$1005=P$2)*('Active Spells'!$D$4:$D$1005)),SUM((Feats!$C$4:$C$1005=$A32)*(Feats!$D$4:$D$1005=P$2)*(Feats!$B$4:$B$1005)),SUM((Equipment!$A$7:$A$1013=1)*(Equipment!$B$7:$B$1013=$A32)*(Equipment!$C$7:$C$1013=P$2)*(Equipment!$G$7:$G$1013)))</f>
        <v>0</v>
      </c>
      <c r="Q32" s="8">
        <f t="array" ref="Q32">SUM(SUM(('Active Spells'!$C$4:$C$1005=1)*('Active Spells'!$E$4:$E$1005=$A32)*('Active Spells'!$F$4:$F$1005=Q$2)*('Active Spells'!$D$4:$D$1005)),SUM((Feats!$C$4:$C$1005=$A32)*(Feats!$D$4:$D$1005=Q$2)*(Feats!$B$4:$B$1005)),SUM((Equipment!$A$7:$A$1013=1)*(Equipment!$B$7:$B$1013=$A32)*(Equipment!$C$7:$C$1013=Q$2)*(Equipment!$G$7:$G$1013)))</f>
        <v>0</v>
      </c>
      <c r="R32" s="8">
        <f t="array" ref="R32">SUM(SUM(('Active Spells'!$C$4:$C$1005=1)*('Active Spells'!$E$4:$E$1005=$A32)*('Active Spells'!$F$4:$F$1005=R$2)*('Active Spells'!$D$4:$D$1005)),SUM((Feats!$C$4:$C$1005=$A32)*(Feats!$D$4:$D$1005=R$2)*(Feats!$B$4:$B$1005)),SUM((Equipment!$A$7:$A$1013=1)*(Equipment!$B$7:$B$1013=$A32)*(Equipment!$C$7:$C$1013=R$2)*(Equipment!$G$7:$G$1013)))</f>
        <v>0</v>
      </c>
      <c r="S32" s="8">
        <f t="array" ref="S32">SUM(SUM(('Active Spells'!$C$4:$C$1005=1)*('Active Spells'!$E$4:$E$1005=$A32)*('Active Spells'!$F$4:$F$1005=S$2)*('Active Spells'!$D$4:$D$1005)),SUM((Feats!$C$4:$C$1005=$A32)*(Feats!$D$4:$D$1005=S$2)*(Feats!$B$4:$B$1005)),SUM((Equipment!$A$7:$A$1013=1)*(Equipment!$B$7:$B$1013=$A32)*(Equipment!$C$7:$C$1013=S$2)*(Equipment!$G$7:$G$1013)))</f>
        <v>0</v>
      </c>
      <c r="T32" s="8">
        <f t="array" ref="T32">SUM(SUM(('Active Spells'!$C$4:$C$1005=1)*('Active Spells'!$E$4:$E$1005=$A32)*('Active Spells'!$F$4:$F$1005=T$2)*('Active Spells'!$D$4:$D$1005)),SUM((Feats!$C$4:$C$1005=$A32)*(Feats!$D$4:$D$1005=T$2)*(Feats!$B$4:$B$1005)),SUM((Equipment!$A$7:$A$1013=1)*(Equipment!$B$7:$B$1013=$A32)*(Equipment!$C$7:$C$1013=T$2)*(Equipment!$G$7:$G$1013)))</f>
        <v>0</v>
      </c>
      <c r="U32" s="8">
        <f t="array" ref="U32">SUM(SUM(('Active Spells'!$C$4:$C$1005=1)*('Active Spells'!$E$4:$E$1005=$A32)*('Active Spells'!$F$4:$F$1005=U$2)*('Active Spells'!$D$4:$D$1005)),SUM((Feats!$C$4:$C$1005=$A32)*(Feats!$D$4:$D$1005=U$2)*(Feats!$B$4:$B$1005)),SUM((Equipment!$A$7:$A$1013=1)*(Equipment!$B$7:$B$1013=$A32)*(Equipment!$C$7:$C$1013=U$2)*(Equipment!$G$7:$G$1013)))</f>
        <v>0</v>
      </c>
      <c r="V32" s="8">
        <f t="array" ref="V32">SUM(SUM(('Active Spells'!$C$4:$C$1005=1)*('Active Spells'!$E$4:$E$1005=$A32)*('Active Spells'!$F$4:$F$1005=V$2)*('Active Spells'!$D$4:$D$1005)),SUM((Feats!$C$4:$C$1005=$A32)*(Feats!$D$4:$D$1005=V$2)*(Feats!$B$4:$B$1005)),SUM((Equipment!$A$7:$A$1013=1)*(Equipment!$B$7:$B$1013=$A32)*(Equipment!$C$7:$C$1013=V$2)*(Equipment!$G$7:$G$1013)))</f>
        <v>0</v>
      </c>
      <c r="W32" s="8">
        <f t="array" ref="W32">SUM(SUM(('Active Spells'!$C$4:$C$1005=1)*('Active Spells'!$E$4:$E$1005=$A32)*('Active Spells'!$F$4:$F$1005=W$2)*('Active Spells'!$D$4:$D$1005)),SUM((Feats!$C$4:$C$1005=$A32)*(Feats!$D$4:$D$1005=W$2)*(Feats!$B$4:$B$1005)),SUM((Equipment!$A$7:$A$1013=1)*(Equipment!$B$7:$B$1013=$A32)*(Equipment!$C$7:$C$1013=W$2)*(Equipment!$G$7:$G$1013)))</f>
        <v>0</v>
      </c>
      <c r="X32" s="8">
        <f t="array" ref="X32">SUM(SUM(('Active Spells'!$C$4:$C$1005=1)*('Active Spells'!$E$4:$E$1005=$A32)*('Active Spells'!$F$4:$F$1005=X$2)*('Active Spells'!$D$4:$D$1005)),SUM((Feats!$C$4:$C$1005=$A32)*(Feats!$D$4:$D$1005=X$2)*(Feats!$B$4:$B$1005)),SUM((Equipment!$A$7:$A$1013=1)*(Equipment!$B$7:$B$1013=$A32)*(Equipment!$C$7:$C$1013=X$2)*(Equipment!$G$7:$G$1013)))</f>
        <v>0</v>
      </c>
      <c r="Y32" s="8">
        <f t="array" ref="Y32">SUM(SUM(('Active Spells'!$C$4:$C$1005=1)*('Active Spells'!$E$4:$E$1005=$A32)*('Active Spells'!$F$4:$F$1005=Y$2)*('Active Spells'!$D$4:$D$1005)),SUM((Feats!$C$4:$C$1005=$A32)*(Feats!$D$4:$D$1005=Y$2)*(Feats!$B$4:$B$1005)),SUM((Equipment!$A$7:$A$1013=1)*(Equipment!$B$7:$B$1013=$A32)*(Equipment!$C$7:$C$1013=Y$2)*(Equipment!$G$7:$G$1013)))</f>
        <v>0</v>
      </c>
      <c r="Z32" s="8">
        <f t="array" ref="Z32">SUM(SUM(('Active Spells'!$C$4:$C$1005=1)*('Active Spells'!$E$4:$E$1005=$A32)*('Active Spells'!$F$4:$F$1005=Z$2)*('Active Spells'!$D$4:$D$1005)),SUM((Feats!$C$4:$C$1005=$A32)*(Feats!$D$4:$D$1005=Z$2)*(Feats!$B$4:$B$1005)),SUM((Equipment!$A$7:$A$1013=1)*(Equipment!$B$7:$B$1013=$A32)*(Equipment!$C$7:$C$1013=Z$2)*(Equipment!$G$7:$G$1013)))</f>
        <v>0</v>
      </c>
      <c r="AA32" s="8">
        <f t="array" ref="AA32">SUM(SUM(('Active Spells'!$C$4:$C$1005=1)*('Active Spells'!$E$4:$E$1005=$A32)*('Active Spells'!$F$4:$F$1005=AA$2)*('Active Spells'!$D$4:$D$1005)),SUM((Feats!$C$4:$C$1005=$A32)*(Feats!$D$4:$D$1005=AA$2)*(Feats!$B$4:$B$1005)),SUM((Equipment!$A$7:$A$1013=1)*(Equipment!$B$7:$B$1013=$A32)*(Equipment!$C$7:$C$1013=AA$2)*(Equipment!$G$7:$G$1013)))</f>
        <v>0</v>
      </c>
    </row>
    <row r="33" spans="1:27" x14ac:dyDescent="0.2">
      <c r="A33" s="6" t="s">
        <v>277</v>
      </c>
      <c r="B33" s="8">
        <f t="array" ref="B33">SUM(SUM(('Active Spells'!$C$4:$C$1005=1)*('Active Spells'!$E$4:$E$1005=$A33)*('Active Spells'!$F$4:$F$1005=B$2)*('Active Spells'!$D$4:$D$1005)),SUM((Feats!$C$4:$C$1005=$A33)*(Feats!$D$4:$D$1005=B$2)*(Feats!$B$4:$B$1005)),SUM((Equipment!$A$7:$A$1013=1)*(Equipment!$B$7:$B$1013=$A33)*(Equipment!$C$7:$C$1013=B$2)*(Equipment!$G$7:$G$1013)))</f>
        <v>0</v>
      </c>
      <c r="C33" s="8">
        <f t="array" ref="C33">SUM(SUM(('Active Spells'!$C$4:$C$1005=1)*('Active Spells'!$E$4:$E$1005=$A33)*('Active Spells'!$F$4:$F$1005=C$2)*('Active Spells'!$D$4:$D$1005)),SUM((Feats!$C$4:$C$1005=$A33)*(Feats!$D$4:$D$1005=C$2)*(Feats!$B$4:$B$1005)),SUM((Equipment!$A$7:$A$1013=1)*(Equipment!$B$7:$B$1013=$A33)*(Equipment!$C$7:$C$1013=C$2)*(Equipment!$G$7:$G$1013)))</f>
        <v>0</v>
      </c>
      <c r="D33" s="8">
        <f t="array" ref="D33">SUM(SUM(('Active Spells'!$C$4:$C$1005=1)*('Active Spells'!$E$4:$E$1005=$A33)*('Active Spells'!$F$4:$F$1005=D$2)*('Active Spells'!$D$4:$D$1005)),SUM((Feats!$C$4:$C$1005=$A33)*(Feats!$D$4:$D$1005=D$2)*(Feats!$B$4:$B$1005)),SUM((Equipment!$A$7:$A$1013=1)*(Equipment!$B$7:$B$1013=$A33)*(Equipment!$C$7:$C$1013=D$2)*(Equipment!$G$7:$G$1013)))</f>
        <v>0</v>
      </c>
      <c r="E33" s="8">
        <f t="array" ref="E33">SUM(SUM(('Active Spells'!$C$4:$C$1005=1)*('Active Spells'!$E$4:$E$1005=$A33)*('Active Spells'!$F$4:$F$1005=E$2)*('Active Spells'!$D$4:$D$1005)),SUM((Feats!$C$4:$C$1005=$A33)*(Feats!$D$4:$D$1005=E$2)*(Feats!$B$4:$B$1005)),SUM((Equipment!$A$7:$A$1013=1)*(Equipment!$B$7:$B$1013=$A33)*(Equipment!$C$7:$C$1013=E$2)*(Equipment!$G$7:$G$1013)))</f>
        <v>0</v>
      </c>
      <c r="F33" s="8">
        <f t="array" ref="F33">SUM(SUM(('Active Spells'!$C$4:$C$1005=1)*('Active Spells'!$E$4:$E$1005=$A33)*('Active Spells'!$F$4:$F$1005=F$2)*('Active Spells'!$D$4:$D$1005)),SUM((Feats!$C$4:$C$1005=$A33)*(Feats!$D$4:$D$1005=F$2)*(Feats!$B$4:$B$1005)),SUM((Equipment!$A$7:$A$1013=1)*(Equipment!$B$7:$B$1013=$A33)*(Equipment!$C$7:$C$1013=F$2)*(Equipment!$G$7:$G$1013)))</f>
        <v>0</v>
      </c>
      <c r="G33" s="8">
        <f t="array" ref="G33">SUM(SUM(('Active Spells'!$C$4:$C$1005=1)*('Active Spells'!$E$4:$E$1005=$A33)*('Active Spells'!$F$4:$F$1005=G$2)*('Active Spells'!$D$4:$D$1005)),SUM((Feats!$C$4:$C$1005=$A33)*(Feats!$D$4:$D$1005=G$2)*(Feats!$B$4:$B$1005)),SUM((Equipment!$A$7:$A$1013=1)*(Equipment!$B$7:$B$1013=$A33)*(Equipment!$C$7:$C$1013=G$2)*(Equipment!$G$7:$G$1013)))</f>
        <v>0</v>
      </c>
      <c r="H33" s="8">
        <f t="array" ref="H33">SUM(SUM(('Active Spells'!$C$4:$C$1005=1)*('Active Spells'!$E$4:$E$1005=$A33)*('Active Spells'!$F$4:$F$1005=H$2)*('Active Spells'!$D$4:$D$1005)),SUM((Feats!$C$4:$C$1005=$A33)*(Feats!$D$4:$D$1005=H$2)*(Feats!$B$4:$B$1005)),SUM((Equipment!$A$7:$A$1013=1)*(Equipment!$B$7:$B$1013=$A33)*(Equipment!$C$7:$C$1013=H$2)*(Equipment!$G$7:$G$1013)))</f>
        <v>4</v>
      </c>
      <c r="I33" s="8">
        <f t="array" ref="I33">SUM(SUM(('Active Spells'!$C$4:$C$1005=1)*('Active Spells'!$E$4:$E$1005=$A33)*('Active Spells'!$F$4:$F$1005=I$2)*('Active Spells'!$D$4:$D$1005)),SUM((Feats!$C$4:$C$1005=$A33)*(Feats!$D$4:$D$1005=I$2)*(Feats!$B$4:$B$1005)),SUM((Equipment!$A$7:$A$1013=1)*(Equipment!$B$7:$B$1013=$A33)*(Equipment!$C$7:$C$1013=I$2)*(Equipment!$G$7:$G$1013)))</f>
        <v>1</v>
      </c>
      <c r="J33" s="8">
        <f t="array" ref="J33">SUM(SUM(('Active Spells'!$C$4:$C$1005=1)*('Active Spells'!$E$4:$E$1005=$A33)*('Active Spells'!$F$4:$F$1005=J$2)*('Active Spells'!$D$4:$D$1005)),SUM((Feats!$C$4:$C$1005=$A33)*(Feats!$D$4:$D$1005=J$2)*(Feats!$B$4:$B$1005)),SUM((Equipment!$A$7:$A$1013=1)*(Equipment!$B$7:$B$1013=$A33)*(Equipment!$C$7:$C$1013=J$2)*(Equipment!$G$7:$G$1013)))</f>
        <v>0</v>
      </c>
      <c r="K33" s="8">
        <f t="array" ref="K33">SUM(SUM(('Active Spells'!$C$4:$C$1005=1)*('Active Spells'!$E$4:$E$1005=$A33)*('Active Spells'!$F$4:$F$1005=K$2)*('Active Spells'!$D$4:$D$1005)),SUM((Feats!$C$4:$C$1005=$A33)*(Feats!$D$4:$D$1005=K$2)*(Feats!$B$4:$B$1005)),SUM((Equipment!$A$7:$A$1013=1)*(Equipment!$B$7:$B$1013=$A33)*(Equipment!$C$7:$C$1013=K$2)*(Equipment!$G$7:$G$1013)))</f>
        <v>0</v>
      </c>
      <c r="L33" s="8">
        <f t="array" ref="L33">SUM(SUM(('Active Spells'!$C$4:$C$1005=1)*('Active Spells'!$E$4:$E$1005=$A33)*('Active Spells'!$F$4:$F$1005=L$2)*('Active Spells'!$D$4:$D$1005)),SUM((Feats!$C$4:$C$1005=$A33)*(Feats!$D$4:$D$1005=L$2)*(Feats!$B$4:$B$1005)),SUM((Equipment!$A$7:$A$1013=1)*(Equipment!$B$7:$B$1013=$A33)*(Equipment!$C$7:$C$1013=L$2)*(Equipment!$G$7:$G$1013)))</f>
        <v>0</v>
      </c>
      <c r="M33" s="8">
        <f t="array" ref="M33">SUM(SUM(('Active Spells'!$C$4:$C$1005=1)*('Active Spells'!$E$4:$E$1005=$A33)*('Active Spells'!$F$4:$F$1005=M$2)*('Active Spells'!$D$4:$D$1005),('Active Spells'!$C$4:$C$1005=1)*('Active Spells'!$E$4:$E$1005=$A33)*('Active Spells'!$F$4:$F$1005="Saves")*('Active Spells'!$D$4:$D$1005)),SUM((Feats!$C$4:$C$1005=$A33)*(Feats!$D$4:$D$1005=M$2)*(Feats!$B$4:$B$1005),(Feats!$C$4:$C$1005=$A33)*(Feats!$D$4:$D$1005="Saves")*(Feats!$B$4:$B$1005)),SUM((Equipment!$A$7:$A$1013=1)*(Equipment!$B$7:$B$1013=$A33)*(Equipment!$C$7:$C$1013=M$2)*(Equipment!$G$7:$G$1013),(Equipment!$A$7:$A$1013=1)*(Equipment!$B$7:$B$1013=$A33)*(Equipment!$C$7:$C$1013="Saves")*(Equipment!$G$7:$G$1013)))</f>
        <v>0</v>
      </c>
      <c r="N33" s="8">
        <f t="array" ref="N33">SUM(SUM(('Active Spells'!$C$4:$C$1005=1)*('Active Spells'!$E$4:$E$1005=$A33)*('Active Spells'!$F$4:$F$1005=N$2)*('Active Spells'!$D$4:$D$1005),('Active Spells'!$C$4:$C$1005=1)*('Active Spells'!$E$4:$E$1005=$A33)*('Active Spells'!$F$4:$F$1005="Saves")*('Active Spells'!$D$4:$D$1005)),SUM((Feats!$C$4:$C$1005=$A33)*(Feats!$D$4:$D$1005=N$2)*(Feats!$B$4:$B$1005),(Feats!$C$4:$C$1005=$A33)*(Feats!$D$4:$D$1005="Saves")*(Feats!$B$4:$B$1005)),SUM((Equipment!$A$7:$A$1013=1)*(Equipment!$B$7:$B$1013=$A33)*(Equipment!$C$7:$C$1013=N$2)*(Equipment!$G$7:$G$1013),(Equipment!$A$7:$A$1013=1)*(Equipment!$B$7:$B$1013=$A33)*(Equipment!$C$7:$C$1013="Saves")*(Equipment!$G$7:$G$1013)))</f>
        <v>0</v>
      </c>
      <c r="O33" s="8">
        <f t="array" ref="O33">SUM(SUM(('Active Spells'!$C$4:$C$1005=1)*('Active Spells'!$E$4:$E$1005=$A33)*('Active Spells'!$F$4:$F$1005=O$2)*('Active Spells'!$D$4:$D$1005),('Active Spells'!$C$4:$C$1005=1)*('Active Spells'!$E$4:$E$1005=$A33)*('Active Spells'!$F$4:$F$1005="Saves")*('Active Spells'!$D$4:$D$1005)),SUM((Feats!$C$4:$C$1005=$A33)*(Feats!$D$4:$D$1005=O$2)*(Feats!$B$4:$B$1005),(Feats!$C$4:$C$1005=$A33)*(Feats!$D$4:$D$1005="Saves")*(Feats!$B$4:$B$1005)),SUM((Equipment!$A$7:$A$1013=1)*(Equipment!$B$7:$B$1013=$A33)*(Equipment!$C$7:$C$1013=O$2)*(Equipment!$G$7:$G$1013),(Equipment!$A$7:$A$1013=1)*(Equipment!$B$7:$B$1013=$A33)*(Equipment!$C$7:$C$1013="Saves")*(Equipment!$G$7:$G$1013)))</f>
        <v>0</v>
      </c>
      <c r="P33" s="8">
        <f t="array" ref="P33">SUM(SUM(('Active Spells'!$C$4:$C$1005=1)*('Active Spells'!$E$4:$E$1005=$A33)*('Active Spells'!$F$4:$F$1005=P$2)*('Active Spells'!$D$4:$D$1005)),SUM((Feats!$C$4:$C$1005=$A33)*(Feats!$D$4:$D$1005=P$2)*(Feats!$B$4:$B$1005)),SUM((Equipment!$A$7:$A$1013=1)*(Equipment!$B$7:$B$1013=$A33)*(Equipment!$C$7:$C$1013=P$2)*(Equipment!$G$7:$G$1013)))</f>
        <v>0</v>
      </c>
      <c r="Q33" s="8">
        <f t="array" ref="Q33">SUM(SUM(('Active Spells'!$C$4:$C$1005=1)*('Active Spells'!$E$4:$E$1005=$A33)*('Active Spells'!$F$4:$F$1005=Q$2)*('Active Spells'!$D$4:$D$1005)),SUM((Feats!$C$4:$C$1005=$A33)*(Feats!$D$4:$D$1005=Q$2)*(Feats!$B$4:$B$1005)),SUM((Equipment!$A$7:$A$1013=1)*(Equipment!$B$7:$B$1013=$A33)*(Equipment!$C$7:$C$1013=Q$2)*(Equipment!$G$7:$G$1013)))</f>
        <v>6</v>
      </c>
      <c r="R33" s="8">
        <f t="array" ref="R33">SUM(SUM(('Active Spells'!$C$4:$C$1005=1)*('Active Spells'!$E$4:$E$1005=$A33)*('Active Spells'!$F$4:$F$1005=R$2)*('Active Spells'!$D$4:$D$1005)),SUM((Feats!$C$4:$C$1005=$A33)*(Feats!$D$4:$D$1005=R$2)*(Feats!$B$4:$B$1005)),SUM((Equipment!$A$7:$A$1013=1)*(Equipment!$B$7:$B$1013=$A33)*(Equipment!$C$7:$C$1013=R$2)*(Equipment!$G$7:$G$1013)))</f>
        <v>10</v>
      </c>
      <c r="S33" s="8">
        <f t="array" ref="S33">SUM(SUM(('Active Spells'!$C$4:$C$1005=1)*('Active Spells'!$E$4:$E$1005=$A33)*('Active Spells'!$F$4:$F$1005=S$2)*('Active Spells'!$D$4:$D$1005)),SUM((Feats!$C$4:$C$1005=$A33)*(Feats!$D$4:$D$1005=S$2)*(Feats!$B$4:$B$1005)),SUM((Equipment!$A$7:$A$1013=1)*(Equipment!$B$7:$B$1013=$A33)*(Equipment!$C$7:$C$1013=S$2)*(Equipment!$G$7:$G$1013)))</f>
        <v>1</v>
      </c>
      <c r="T33" s="8">
        <f t="array" ref="T33">SUM(SUM(('Active Spells'!$C$4:$C$1005=1)*('Active Spells'!$E$4:$E$1005=$A33)*('Active Spells'!$F$4:$F$1005=T$2)*('Active Spells'!$D$4:$D$1005)),SUM((Feats!$C$4:$C$1005=$A33)*(Feats!$D$4:$D$1005=T$2)*(Feats!$B$4:$B$1005)),SUM((Equipment!$A$7:$A$1013=1)*(Equipment!$B$7:$B$1013=$A33)*(Equipment!$C$7:$C$1013=T$2)*(Equipment!$G$7:$G$1013)))</f>
        <v>0</v>
      </c>
      <c r="U33" s="8">
        <f t="array" ref="U33">SUM(SUM(('Active Spells'!$C$4:$C$1005=1)*('Active Spells'!$E$4:$E$1005=$A33)*('Active Spells'!$F$4:$F$1005=U$2)*('Active Spells'!$D$4:$D$1005)),SUM((Feats!$C$4:$C$1005=$A33)*(Feats!$D$4:$D$1005=U$2)*(Feats!$B$4:$B$1005)),SUM((Equipment!$A$7:$A$1013=1)*(Equipment!$B$7:$B$1013=$A33)*(Equipment!$C$7:$C$1013=U$2)*(Equipment!$G$7:$G$1013)))</f>
        <v>0</v>
      </c>
      <c r="V33" s="8">
        <f t="array" ref="V33">SUM(SUM(('Active Spells'!$C$4:$C$1005=1)*('Active Spells'!$E$4:$E$1005=$A33)*('Active Spells'!$F$4:$F$1005=V$2)*('Active Spells'!$D$4:$D$1005)),SUM((Feats!$C$4:$C$1005=$A33)*(Feats!$D$4:$D$1005=V$2)*(Feats!$B$4:$B$1005)),SUM((Equipment!$A$7:$A$1013=1)*(Equipment!$B$7:$B$1013=$A33)*(Equipment!$C$7:$C$1013=V$2)*(Equipment!$G$7:$G$1013)))</f>
        <v>0</v>
      </c>
      <c r="W33" s="8">
        <f t="array" ref="W33">SUM(SUM(('Active Spells'!$C$4:$C$1005=1)*('Active Spells'!$E$4:$E$1005=$A33)*('Active Spells'!$F$4:$F$1005=W$2)*('Active Spells'!$D$4:$D$1005)),SUM((Feats!$C$4:$C$1005=$A33)*(Feats!$D$4:$D$1005=W$2)*(Feats!$B$4:$B$1005)),SUM((Equipment!$A$7:$A$1013=1)*(Equipment!$B$7:$B$1013=$A33)*(Equipment!$C$7:$C$1013=W$2)*(Equipment!$G$7:$G$1013)))</f>
        <v>0</v>
      </c>
      <c r="X33" s="8">
        <f t="array" ref="X33">SUM(SUM(('Active Spells'!$C$4:$C$1005=1)*('Active Spells'!$E$4:$E$1005=$A33)*('Active Spells'!$F$4:$F$1005=X$2)*('Active Spells'!$D$4:$D$1005)),SUM((Feats!$C$4:$C$1005=$A33)*(Feats!$D$4:$D$1005=X$2)*(Feats!$B$4:$B$1005)),SUM((Equipment!$A$7:$A$1013=1)*(Equipment!$B$7:$B$1013=$A33)*(Equipment!$C$7:$C$1013=X$2)*(Equipment!$G$7:$G$1013)))</f>
        <v>0</v>
      </c>
      <c r="Y33" s="8">
        <f t="array" ref="Y33">SUM(SUM(('Active Spells'!$C$4:$C$1005=1)*('Active Spells'!$E$4:$E$1005=$A33)*('Active Spells'!$F$4:$F$1005=Y$2)*('Active Spells'!$D$4:$D$1005)),SUM((Feats!$C$4:$C$1005=$A33)*(Feats!$D$4:$D$1005=Y$2)*(Feats!$B$4:$B$1005)),SUM((Equipment!$A$7:$A$1013=1)*(Equipment!$B$7:$B$1013=$A33)*(Equipment!$C$7:$C$1013=Y$2)*(Equipment!$G$7:$G$1013)))</f>
        <v>0</v>
      </c>
      <c r="Z33" s="8">
        <f t="array" ref="Z33">SUM(SUM(('Active Spells'!$C$4:$C$1005=1)*('Active Spells'!$E$4:$E$1005=$A33)*('Active Spells'!$F$4:$F$1005=Z$2)*('Active Spells'!$D$4:$D$1005)),SUM((Feats!$C$4:$C$1005=$A33)*(Feats!$D$4:$D$1005=Z$2)*(Feats!$B$4:$B$1005)),SUM((Equipment!$A$7:$A$1013=1)*(Equipment!$B$7:$B$1013=$A33)*(Equipment!$C$7:$C$1013=Z$2)*(Equipment!$G$7:$G$1013)))</f>
        <v>1</v>
      </c>
      <c r="AA33" s="8">
        <f t="array" ref="AA33">SUM(SUM(('Active Spells'!$C$4:$C$1005=1)*('Active Spells'!$E$4:$E$1005=$A33)*('Active Spells'!$F$4:$F$1005=AA$2)*('Active Spells'!$D$4:$D$1005)),SUM((Feats!$C$4:$C$1005=$A33)*(Feats!$D$4:$D$1005=AA$2)*(Feats!$B$4:$B$1005)),SUM((Equipment!$A$7:$A$1013=1)*(Equipment!$B$7:$B$1013=$A33)*(Equipment!$C$7:$C$1013=AA$2)*(Equipment!$G$7:$G$1013)))</f>
        <v>2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T11"/>
  <sheetViews>
    <sheetView workbookViewId="0">
      <selection activeCell="H12" sqref="H12"/>
    </sheetView>
  </sheetViews>
  <sheetFormatPr defaultColWidth="8.85546875" defaultRowHeight="12.75" x14ac:dyDescent="0.2"/>
  <sheetData>
    <row r="2" spans="1:20" x14ac:dyDescent="0.2">
      <c r="A2" s="5" t="s">
        <v>222</v>
      </c>
      <c r="B2" s="5" t="s">
        <v>0</v>
      </c>
      <c r="C2" s="5" t="s">
        <v>1</v>
      </c>
      <c r="D2" s="5" t="s">
        <v>3</v>
      </c>
      <c r="E2" s="5" t="s">
        <v>2</v>
      </c>
      <c r="F2" s="5" t="s">
        <v>4</v>
      </c>
      <c r="G2" s="5" t="s">
        <v>5</v>
      </c>
      <c r="H2" s="5" t="s">
        <v>64</v>
      </c>
      <c r="I2" s="5" t="s">
        <v>217</v>
      </c>
      <c r="J2" s="5" t="s">
        <v>208</v>
      </c>
      <c r="K2" s="5" t="s">
        <v>229</v>
      </c>
      <c r="L2" s="5" t="s">
        <v>230</v>
      </c>
      <c r="M2" s="5" t="s">
        <v>231</v>
      </c>
      <c r="N2" s="5" t="s">
        <v>279</v>
      </c>
      <c r="O2" s="5" t="s">
        <v>280</v>
      </c>
      <c r="P2" s="5" t="s">
        <v>281</v>
      </c>
      <c r="Q2" s="5" t="s">
        <v>282</v>
      </c>
      <c r="R2" s="5" t="s">
        <v>283</v>
      </c>
      <c r="S2" s="5" t="s">
        <v>284</v>
      </c>
      <c r="T2" s="5" t="s">
        <v>331</v>
      </c>
    </row>
    <row r="3" spans="1:20" x14ac:dyDescent="0.2">
      <c r="A3" s="9" t="s">
        <v>29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30</v>
      </c>
      <c r="I3" s="8">
        <v>0</v>
      </c>
      <c r="J3" s="9" t="s">
        <v>209</v>
      </c>
      <c r="K3" s="8">
        <v>0</v>
      </c>
      <c r="L3" s="8">
        <v>5</v>
      </c>
      <c r="M3" s="8">
        <v>5</v>
      </c>
      <c r="N3" s="8">
        <f>Character!$C$11</f>
        <v>19</v>
      </c>
      <c r="O3" s="8">
        <f>Character!$C$12</f>
        <v>17</v>
      </c>
      <c r="P3" s="8">
        <f>Character!$C$13</f>
        <v>17</v>
      </c>
      <c r="Q3" s="8">
        <f>Character!$C$14</f>
        <v>12</v>
      </c>
      <c r="R3" s="8">
        <f>Character!$C$15</f>
        <v>6</v>
      </c>
      <c r="S3" s="8">
        <f>Character!$C$16</f>
        <v>12</v>
      </c>
      <c r="T3">
        <v>0</v>
      </c>
    </row>
    <row r="4" spans="1:20" x14ac:dyDescent="0.2">
      <c r="A4" s="9" t="s">
        <v>225</v>
      </c>
      <c r="B4" s="8">
        <v>0</v>
      </c>
      <c r="C4" s="8">
        <v>2</v>
      </c>
      <c r="D4" s="8">
        <v>-2</v>
      </c>
      <c r="E4" s="8">
        <v>0</v>
      </c>
      <c r="F4" s="8">
        <v>0</v>
      </c>
      <c r="G4" s="8">
        <v>0</v>
      </c>
      <c r="H4" s="8">
        <v>30</v>
      </c>
      <c r="I4" s="8">
        <v>0</v>
      </c>
      <c r="J4" s="9" t="s">
        <v>209</v>
      </c>
      <c r="K4" s="8">
        <v>0</v>
      </c>
      <c r="L4" s="8">
        <v>5</v>
      </c>
      <c r="M4" s="8">
        <v>5</v>
      </c>
      <c r="N4" s="8">
        <f>Character!$C$11</f>
        <v>19</v>
      </c>
      <c r="O4" s="8">
        <f>Character!$C$12</f>
        <v>17</v>
      </c>
      <c r="P4" s="8">
        <f>Character!$C$13</f>
        <v>17</v>
      </c>
      <c r="Q4" s="8">
        <f>Character!$C$14</f>
        <v>12</v>
      </c>
      <c r="R4" s="8">
        <f>Character!$C$15</f>
        <v>6</v>
      </c>
      <c r="S4" s="8">
        <f>Character!$C$16</f>
        <v>12</v>
      </c>
      <c r="T4">
        <v>0</v>
      </c>
    </row>
    <row r="5" spans="1:20" x14ac:dyDescent="0.2">
      <c r="A5" s="9" t="s">
        <v>226</v>
      </c>
      <c r="B5" s="8">
        <v>0</v>
      </c>
      <c r="C5" s="8">
        <v>0</v>
      </c>
      <c r="D5" s="8">
        <v>2</v>
      </c>
      <c r="E5" s="8">
        <v>0</v>
      </c>
      <c r="F5" s="8">
        <v>0</v>
      </c>
      <c r="G5" s="8">
        <v>-2</v>
      </c>
      <c r="H5" s="8">
        <v>20</v>
      </c>
      <c r="I5" s="8">
        <v>0</v>
      </c>
      <c r="J5" s="9" t="s">
        <v>209</v>
      </c>
      <c r="K5" s="8">
        <v>0</v>
      </c>
      <c r="L5" s="8">
        <v>5</v>
      </c>
      <c r="M5" s="8">
        <v>5</v>
      </c>
      <c r="N5" s="8">
        <f>Character!$C$11</f>
        <v>19</v>
      </c>
      <c r="O5" s="8">
        <f>Character!$C$12</f>
        <v>17</v>
      </c>
      <c r="P5" s="8">
        <f>Character!$C$13</f>
        <v>17</v>
      </c>
      <c r="Q5" s="8">
        <f>Character!$C$14</f>
        <v>12</v>
      </c>
      <c r="R5" s="8">
        <f>Character!$C$15</f>
        <v>6</v>
      </c>
      <c r="S5" s="8">
        <f>Character!$C$16</f>
        <v>12</v>
      </c>
      <c r="T5">
        <v>0</v>
      </c>
    </row>
    <row r="6" spans="1:20" x14ac:dyDescent="0.2">
      <c r="A6" s="9" t="s">
        <v>239</v>
      </c>
      <c r="B6" s="8">
        <v>-2</v>
      </c>
      <c r="C6" s="8">
        <v>0</v>
      </c>
      <c r="D6" s="8">
        <v>2</v>
      </c>
      <c r="E6" s="8">
        <v>0</v>
      </c>
      <c r="F6" s="8">
        <v>0</v>
      </c>
      <c r="G6" s="8">
        <v>0</v>
      </c>
      <c r="H6" s="8">
        <v>20</v>
      </c>
      <c r="I6" s="8">
        <v>0</v>
      </c>
      <c r="J6" s="9" t="s">
        <v>243</v>
      </c>
      <c r="K6" s="8">
        <v>0</v>
      </c>
      <c r="L6" s="8">
        <v>5</v>
      </c>
      <c r="M6" s="8">
        <v>5</v>
      </c>
      <c r="N6" s="8">
        <f>Character!$C$11</f>
        <v>19</v>
      </c>
      <c r="O6" s="8">
        <f>Character!$C$12</f>
        <v>17</v>
      </c>
      <c r="P6" s="8">
        <f>Character!$C$13</f>
        <v>17</v>
      </c>
      <c r="Q6" s="8">
        <f>Character!$C$14</f>
        <v>12</v>
      </c>
      <c r="R6" s="8">
        <f>Character!$C$15</f>
        <v>6</v>
      </c>
      <c r="S6" s="8">
        <f>Character!$C$16</f>
        <v>12</v>
      </c>
      <c r="T6">
        <v>0</v>
      </c>
    </row>
    <row r="7" spans="1:20" x14ac:dyDescent="0.2">
      <c r="A7" s="9" t="s">
        <v>240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30</v>
      </c>
      <c r="I7" s="8">
        <v>0</v>
      </c>
      <c r="J7" s="9" t="s">
        <v>209</v>
      </c>
      <c r="K7" s="8">
        <v>0</v>
      </c>
      <c r="L7" s="8">
        <v>5</v>
      </c>
      <c r="M7" s="8">
        <v>5</v>
      </c>
      <c r="N7" s="8">
        <f>Character!$C$11</f>
        <v>19</v>
      </c>
      <c r="O7" s="8">
        <f>Character!$C$12</f>
        <v>17</v>
      </c>
      <c r="P7" s="8">
        <f>Character!$C$13</f>
        <v>17</v>
      </c>
      <c r="Q7" s="8">
        <f>Character!$C$14</f>
        <v>12</v>
      </c>
      <c r="R7" s="8">
        <f>Character!$C$15</f>
        <v>6</v>
      </c>
      <c r="S7" s="8">
        <f>Character!$C$16</f>
        <v>12</v>
      </c>
      <c r="T7">
        <v>0</v>
      </c>
    </row>
    <row r="8" spans="1:20" x14ac:dyDescent="0.2">
      <c r="A8" s="9" t="s">
        <v>241</v>
      </c>
      <c r="B8" s="8">
        <v>2</v>
      </c>
      <c r="C8" s="8">
        <v>0</v>
      </c>
      <c r="D8" s="8">
        <v>0</v>
      </c>
      <c r="E8" s="8">
        <v>-2</v>
      </c>
      <c r="F8" s="8">
        <v>0</v>
      </c>
      <c r="G8" s="9">
        <v>-2</v>
      </c>
      <c r="H8" s="9">
        <v>30</v>
      </c>
      <c r="I8" s="9">
        <v>0</v>
      </c>
      <c r="J8" s="9" t="s">
        <v>209</v>
      </c>
      <c r="K8" s="8">
        <v>0</v>
      </c>
      <c r="L8" s="8">
        <v>5</v>
      </c>
      <c r="M8" s="8">
        <v>5</v>
      </c>
      <c r="N8" s="8">
        <f>Character!$C$11</f>
        <v>19</v>
      </c>
      <c r="O8" s="8">
        <f>Character!$C$12</f>
        <v>17</v>
      </c>
      <c r="P8" s="8">
        <f>Character!$C$13</f>
        <v>17</v>
      </c>
      <c r="Q8" s="8">
        <f>Character!$C$14</f>
        <v>12</v>
      </c>
      <c r="R8" s="8">
        <f>Character!$C$15</f>
        <v>6</v>
      </c>
      <c r="S8" s="8">
        <f>Character!$C$16</f>
        <v>12</v>
      </c>
      <c r="T8">
        <v>0</v>
      </c>
    </row>
    <row r="9" spans="1:20" x14ac:dyDescent="0.2">
      <c r="A9" s="9" t="s">
        <v>242</v>
      </c>
      <c r="B9" s="8">
        <v>-2</v>
      </c>
      <c r="C9" s="8">
        <v>2</v>
      </c>
      <c r="D9" s="8">
        <v>0</v>
      </c>
      <c r="E9" s="8">
        <v>0</v>
      </c>
      <c r="F9" s="8">
        <v>0</v>
      </c>
      <c r="G9" s="9">
        <v>0</v>
      </c>
      <c r="H9" s="9">
        <v>30</v>
      </c>
      <c r="I9" s="9">
        <v>0</v>
      </c>
      <c r="J9" s="9" t="s">
        <v>243</v>
      </c>
      <c r="K9" s="8">
        <v>0</v>
      </c>
      <c r="L9" s="8">
        <v>5</v>
      </c>
      <c r="M9" s="8">
        <v>5</v>
      </c>
      <c r="N9" s="8">
        <f>Character!$C$11</f>
        <v>19</v>
      </c>
      <c r="O9" s="8">
        <f>Character!$C$12</f>
        <v>17</v>
      </c>
      <c r="P9" s="8">
        <f>Character!$C$13</f>
        <v>17</v>
      </c>
      <c r="Q9" s="8">
        <f>Character!$C$14</f>
        <v>12</v>
      </c>
      <c r="R9" s="8">
        <f>Character!$C$15</f>
        <v>6</v>
      </c>
      <c r="S9" s="8">
        <f>Character!$C$16</f>
        <v>12</v>
      </c>
      <c r="T9">
        <v>0</v>
      </c>
    </row>
    <row r="10" spans="1:20" x14ac:dyDescent="0.2">
      <c r="A10" s="9" t="s">
        <v>224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9">
        <v>0</v>
      </c>
      <c r="H10" s="9">
        <v>30</v>
      </c>
      <c r="I10" s="9">
        <v>0</v>
      </c>
      <c r="J10" s="9" t="s">
        <v>169</v>
      </c>
      <c r="K10" s="9">
        <v>13</v>
      </c>
      <c r="L10" s="9">
        <v>15</v>
      </c>
      <c r="M10" s="9">
        <v>15</v>
      </c>
      <c r="N10" s="8">
        <v>29</v>
      </c>
      <c r="O10" s="8">
        <v>8</v>
      </c>
      <c r="P10" s="8">
        <v>21</v>
      </c>
      <c r="Q10" s="8">
        <f>Character!$C$14</f>
        <v>12</v>
      </c>
      <c r="R10" s="8">
        <f>Character!$C$15</f>
        <v>6</v>
      </c>
      <c r="S10" s="8">
        <f>Character!$C$16</f>
        <v>12</v>
      </c>
      <c r="T10">
        <v>7</v>
      </c>
    </row>
    <row r="11" spans="1:20" x14ac:dyDescent="0.2">
      <c r="A11" s="9" t="s">
        <v>330</v>
      </c>
      <c r="B11" s="9">
        <v>0</v>
      </c>
      <c r="C11" s="8">
        <v>0</v>
      </c>
      <c r="D11" s="8">
        <v>0</v>
      </c>
      <c r="E11" s="8">
        <v>0</v>
      </c>
      <c r="F11" s="8">
        <v>0</v>
      </c>
      <c r="G11" s="9">
        <v>0</v>
      </c>
      <c r="H11" s="9">
        <v>40</v>
      </c>
      <c r="I11" s="9">
        <v>0</v>
      </c>
      <c r="J11" s="9" t="s">
        <v>329</v>
      </c>
      <c r="K11" s="9">
        <v>11</v>
      </c>
      <c r="L11" s="9">
        <v>10</v>
      </c>
      <c r="M11" s="9">
        <v>10</v>
      </c>
      <c r="N11" s="9">
        <v>29</v>
      </c>
      <c r="O11" s="9">
        <v>13</v>
      </c>
      <c r="P11" s="9">
        <v>27</v>
      </c>
      <c r="Q11" s="8">
        <f>Character!$C$14</f>
        <v>12</v>
      </c>
      <c r="R11" s="8">
        <f>Character!$C$15</f>
        <v>6</v>
      </c>
      <c r="S11" s="8">
        <f>Character!$C$16</f>
        <v>12</v>
      </c>
      <c r="T11">
        <v>9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I6"/>
  <sheetViews>
    <sheetView workbookViewId="0">
      <selection activeCell="J35" sqref="J35"/>
    </sheetView>
  </sheetViews>
  <sheetFormatPr defaultColWidth="8.85546875" defaultRowHeight="12.75" x14ac:dyDescent="0.2"/>
  <sheetData>
    <row r="2" spans="1:9" x14ac:dyDescent="0.2">
      <c r="A2" s="5" t="s">
        <v>19</v>
      </c>
      <c r="B2" s="5" t="s">
        <v>219</v>
      </c>
      <c r="C2" s="5" t="s">
        <v>220</v>
      </c>
      <c r="D2" s="5" t="s">
        <v>250</v>
      </c>
      <c r="E2" s="5" t="s">
        <v>221</v>
      </c>
      <c r="F2" s="5" t="s">
        <v>228</v>
      </c>
      <c r="G2" s="5" t="s">
        <v>258</v>
      </c>
      <c r="H2" s="5" t="s">
        <v>247</v>
      </c>
      <c r="I2" s="5" t="s">
        <v>248</v>
      </c>
    </row>
    <row r="3" spans="1:9" x14ac:dyDescent="0.2">
      <c r="A3" s="9" t="s">
        <v>278</v>
      </c>
      <c r="B3" s="9" t="s">
        <v>278</v>
      </c>
      <c r="C3" s="9" t="s">
        <v>278</v>
      </c>
      <c r="D3" s="9" t="s">
        <v>278</v>
      </c>
      <c r="E3" s="9" t="s">
        <v>278</v>
      </c>
      <c r="F3" s="9">
        <v>0</v>
      </c>
      <c r="G3" s="9">
        <v>0</v>
      </c>
      <c r="H3" s="8">
        <f>4*I3</f>
        <v>0</v>
      </c>
      <c r="I3" s="8">
        <f>G3</f>
        <v>0</v>
      </c>
    </row>
    <row r="4" spans="1:9" x14ac:dyDescent="0.2">
      <c r="A4" s="9" t="s">
        <v>16</v>
      </c>
      <c r="B4" s="9" t="s">
        <v>244</v>
      </c>
      <c r="C4" s="9" t="s">
        <v>244</v>
      </c>
      <c r="D4" s="9" t="s">
        <v>246</v>
      </c>
      <c r="E4" s="9" t="s">
        <v>244</v>
      </c>
      <c r="F4" s="8">
        <v>8</v>
      </c>
      <c r="G4" s="8">
        <v>6</v>
      </c>
      <c r="H4" s="8">
        <f>4*I4</f>
        <v>28</v>
      </c>
      <c r="I4" s="8">
        <f>G4+Character!$G$14</f>
        <v>7</v>
      </c>
    </row>
    <row r="5" spans="1:9" x14ac:dyDescent="0.2">
      <c r="A5" s="9" t="s">
        <v>17</v>
      </c>
      <c r="B5" s="9" t="s">
        <v>244</v>
      </c>
      <c r="C5" s="9" t="s">
        <v>246</v>
      </c>
      <c r="D5" s="9" t="s">
        <v>246</v>
      </c>
      <c r="E5" s="9" t="s">
        <v>244</v>
      </c>
      <c r="F5" s="8">
        <v>10</v>
      </c>
      <c r="G5" s="8">
        <v>2</v>
      </c>
      <c r="H5" s="8">
        <f>4*I5</f>
        <v>12</v>
      </c>
      <c r="I5" s="8">
        <f>G5+Character!$G$14</f>
        <v>3</v>
      </c>
    </row>
    <row r="6" spans="1:9" x14ac:dyDescent="0.2">
      <c r="A6" s="9" t="s">
        <v>249</v>
      </c>
      <c r="B6" s="9" t="s">
        <v>244</v>
      </c>
      <c r="C6" s="9" t="s">
        <v>246</v>
      </c>
      <c r="D6" s="9" t="s">
        <v>246</v>
      </c>
      <c r="E6" s="9" t="s">
        <v>244</v>
      </c>
      <c r="F6" s="8">
        <v>12</v>
      </c>
      <c r="G6" s="8">
        <v>4</v>
      </c>
      <c r="H6" s="8">
        <f>I6*4</f>
        <v>20</v>
      </c>
      <c r="I6" s="8">
        <f>G6+Character!$G$14</f>
        <v>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Charts!$B$3:$D$3</xm:f>
          </x14:formula1>
          <xm:sqref>B3:D6</xm:sqref>
        </x14:dataValidation>
        <x14:dataValidation type="list" allowBlank="1" showInputMessage="1" showErrorMessage="1">
          <x14:formula1>
            <xm:f>Charts!$G$3:$J$3</xm:f>
          </x14:formula1>
          <xm:sqref>E3:E6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T98"/>
  <sheetViews>
    <sheetView topLeftCell="A3" workbookViewId="0">
      <selection activeCell="L89" sqref="G89:L91"/>
    </sheetView>
  </sheetViews>
  <sheetFormatPr defaultColWidth="8.85546875" defaultRowHeight="12.75" x14ac:dyDescent="0.2"/>
  <cols>
    <col min="1" max="1" width="19.28515625" customWidth="1"/>
    <col min="2" max="2" width="6.7109375" customWidth="1"/>
    <col min="3" max="3" width="9.28515625" bestFit="1" customWidth="1"/>
    <col min="4" max="4" width="8.140625" customWidth="1"/>
    <col min="5" max="5" width="8.28515625" customWidth="1"/>
    <col min="6" max="6" width="15" bestFit="1" customWidth="1"/>
    <col min="7" max="7" width="7.85546875" customWidth="1"/>
    <col min="8" max="8" width="22" bestFit="1" customWidth="1"/>
    <col min="9" max="9" width="10.42578125" bestFit="1" customWidth="1"/>
    <col min="10" max="10" width="7.85546875" customWidth="1"/>
    <col min="12" max="12" width="12.140625" customWidth="1"/>
  </cols>
  <sheetData>
    <row r="3" spans="1:19" x14ac:dyDescent="0.2">
      <c r="A3" s="5" t="s">
        <v>237</v>
      </c>
      <c r="B3" s="5" t="s">
        <v>244</v>
      </c>
      <c r="C3" s="5" t="s">
        <v>246</v>
      </c>
      <c r="D3" s="5" t="s">
        <v>278</v>
      </c>
      <c r="F3" s="5" t="s">
        <v>238</v>
      </c>
      <c r="G3" s="5" t="s">
        <v>244</v>
      </c>
      <c r="H3" s="5" t="s">
        <v>245</v>
      </c>
      <c r="I3" s="5" t="s">
        <v>246</v>
      </c>
      <c r="J3" s="5" t="s">
        <v>278</v>
      </c>
      <c r="M3" s="5" t="s">
        <v>328</v>
      </c>
    </row>
    <row r="4" spans="1:19" x14ac:dyDescent="0.2">
      <c r="A4" s="8">
        <v>0</v>
      </c>
      <c r="B4" s="8">
        <v>0</v>
      </c>
      <c r="C4" s="8">
        <v>0</v>
      </c>
      <c r="D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M4" t="s">
        <v>87</v>
      </c>
      <c r="N4" t="s">
        <v>7</v>
      </c>
      <c r="O4" t="s">
        <v>85</v>
      </c>
      <c r="P4" t="s">
        <v>86</v>
      </c>
      <c r="Q4" t="s">
        <v>88</v>
      </c>
    </row>
    <row r="5" spans="1:19" x14ac:dyDescent="0.2">
      <c r="A5" s="8">
        <v>1</v>
      </c>
      <c r="B5" s="8">
        <v>2</v>
      </c>
      <c r="C5" s="8">
        <v>0</v>
      </c>
      <c r="D5" s="8">
        <v>0</v>
      </c>
      <c r="F5" s="8">
        <v>1</v>
      </c>
      <c r="G5" s="8">
        <v>1</v>
      </c>
      <c r="H5" s="8">
        <v>0</v>
      </c>
      <c r="I5" s="8">
        <v>0</v>
      </c>
      <c r="J5" s="8">
        <v>0</v>
      </c>
      <c r="N5">
        <v>1800</v>
      </c>
      <c r="O5">
        <v>5</v>
      </c>
      <c r="P5">
        <v>3</v>
      </c>
      <c r="Q5">
        <v>5</v>
      </c>
      <c r="R5">
        <f>N5*O5*P5/(5/Q5)</f>
        <v>27000</v>
      </c>
    </row>
    <row r="6" spans="1:19" x14ac:dyDescent="0.2">
      <c r="A6" s="8">
        <v>2</v>
      </c>
      <c r="B6" s="8">
        <v>3</v>
      </c>
      <c r="C6" s="8">
        <v>0</v>
      </c>
      <c r="D6" s="8">
        <v>0</v>
      </c>
      <c r="F6" s="8">
        <v>2</v>
      </c>
      <c r="G6" s="8">
        <v>2</v>
      </c>
      <c r="H6" s="8">
        <v>1</v>
      </c>
      <c r="I6" s="8">
        <v>1</v>
      </c>
      <c r="J6" s="8">
        <v>0</v>
      </c>
      <c r="N6">
        <v>1800</v>
      </c>
      <c r="O6">
        <v>9</v>
      </c>
      <c r="P6">
        <v>4</v>
      </c>
      <c r="Q6">
        <v>5</v>
      </c>
      <c r="R6">
        <f>N6*O6*P6/(5/Q6)</f>
        <v>64800</v>
      </c>
    </row>
    <row r="7" spans="1:19" x14ac:dyDescent="0.2">
      <c r="A7" s="8">
        <v>3</v>
      </c>
      <c r="B7" s="8">
        <v>3</v>
      </c>
      <c r="C7" s="8">
        <v>1</v>
      </c>
      <c r="D7" s="8">
        <v>0</v>
      </c>
      <c r="F7" s="8">
        <v>3</v>
      </c>
      <c r="G7" s="8">
        <v>3</v>
      </c>
      <c r="H7" s="8">
        <v>2</v>
      </c>
      <c r="I7" s="8">
        <v>1</v>
      </c>
      <c r="J7" s="8">
        <v>0</v>
      </c>
    </row>
    <row r="8" spans="1:19" x14ac:dyDescent="0.2">
      <c r="A8" s="8">
        <v>4</v>
      </c>
      <c r="B8" s="8">
        <v>4</v>
      </c>
      <c r="C8" s="8">
        <v>1</v>
      </c>
      <c r="D8" s="8">
        <v>0</v>
      </c>
      <c r="F8" s="8">
        <v>4</v>
      </c>
      <c r="G8" s="8">
        <v>4</v>
      </c>
      <c r="H8" s="8">
        <v>3</v>
      </c>
      <c r="I8" s="8">
        <v>2</v>
      </c>
      <c r="J8" s="8">
        <v>0</v>
      </c>
      <c r="L8" s="5" t="s">
        <v>208</v>
      </c>
      <c r="M8" s="5" t="s">
        <v>358</v>
      </c>
      <c r="N8" s="5" t="s">
        <v>208</v>
      </c>
      <c r="O8" s="5" t="s">
        <v>230</v>
      </c>
      <c r="P8" s="5" t="s">
        <v>231</v>
      </c>
      <c r="Q8" s="5" t="s">
        <v>364</v>
      </c>
      <c r="R8" s="5" t="s">
        <v>287</v>
      </c>
      <c r="S8" s="5" t="s">
        <v>358</v>
      </c>
    </row>
    <row r="9" spans="1:19" x14ac:dyDescent="0.2">
      <c r="A9" s="8">
        <v>5</v>
      </c>
      <c r="B9" s="8">
        <v>4</v>
      </c>
      <c r="C9" s="8">
        <v>1</v>
      </c>
      <c r="D9" s="8">
        <v>0</v>
      </c>
      <c r="F9" s="8">
        <v>5</v>
      </c>
      <c r="G9" s="8">
        <v>5</v>
      </c>
      <c r="H9" s="8">
        <v>3</v>
      </c>
      <c r="I9" s="8">
        <v>2</v>
      </c>
      <c r="J9" s="8">
        <v>0</v>
      </c>
      <c r="L9" s="9" t="s">
        <v>361</v>
      </c>
      <c r="M9" s="8">
        <v>1</v>
      </c>
      <c r="N9" s="9" t="s">
        <v>361</v>
      </c>
      <c r="O9" s="8">
        <v>0.5</v>
      </c>
      <c r="P9" s="8">
        <v>0</v>
      </c>
      <c r="Q9" s="8">
        <v>8</v>
      </c>
      <c r="R9" s="1" t="s">
        <v>366</v>
      </c>
      <c r="S9" s="8">
        <v>1</v>
      </c>
    </row>
    <row r="10" spans="1:19" x14ac:dyDescent="0.2">
      <c r="A10" s="8">
        <v>6</v>
      </c>
      <c r="B10" s="8">
        <v>5</v>
      </c>
      <c r="C10" s="8">
        <v>2</v>
      </c>
      <c r="D10" s="8">
        <v>0</v>
      </c>
      <c r="F10" s="8">
        <v>6</v>
      </c>
      <c r="G10" s="8">
        <v>6</v>
      </c>
      <c r="H10" s="8">
        <v>4</v>
      </c>
      <c r="I10" s="8">
        <v>3</v>
      </c>
      <c r="J10" s="8">
        <v>0</v>
      </c>
      <c r="L10" s="9" t="s">
        <v>360</v>
      </c>
      <c r="M10" s="8">
        <v>2</v>
      </c>
      <c r="N10" s="9" t="s">
        <v>360</v>
      </c>
      <c r="O10" s="8">
        <v>1</v>
      </c>
      <c r="P10" s="8">
        <v>0</v>
      </c>
      <c r="Q10" s="8">
        <v>4</v>
      </c>
      <c r="R10" s="1" t="s">
        <v>367</v>
      </c>
      <c r="S10" s="8">
        <v>2</v>
      </c>
    </row>
    <row r="11" spans="1:19" x14ac:dyDescent="0.2">
      <c r="A11" s="8">
        <v>7</v>
      </c>
      <c r="B11" s="8">
        <v>5</v>
      </c>
      <c r="C11" s="8">
        <v>2</v>
      </c>
      <c r="D11" s="8">
        <v>0</v>
      </c>
      <c r="F11" s="8">
        <v>7</v>
      </c>
      <c r="G11" s="8">
        <v>7</v>
      </c>
      <c r="H11" s="8">
        <v>5</v>
      </c>
      <c r="I11" s="8">
        <v>3</v>
      </c>
      <c r="J11" s="8">
        <v>0</v>
      </c>
      <c r="L11" s="9" t="s">
        <v>359</v>
      </c>
      <c r="M11" s="8">
        <v>3</v>
      </c>
      <c r="N11" s="9" t="s">
        <v>359</v>
      </c>
      <c r="O11" s="8">
        <v>2.5</v>
      </c>
      <c r="P11" s="8">
        <v>0</v>
      </c>
      <c r="Q11" s="8">
        <v>2</v>
      </c>
      <c r="R11" s="1" t="s">
        <v>368</v>
      </c>
      <c r="S11" s="8">
        <v>3</v>
      </c>
    </row>
    <row r="12" spans="1:19" x14ac:dyDescent="0.2">
      <c r="A12" s="8">
        <v>8</v>
      </c>
      <c r="B12" s="8">
        <v>6</v>
      </c>
      <c r="C12" s="8">
        <v>2</v>
      </c>
      <c r="D12" s="8">
        <v>0</v>
      </c>
      <c r="F12" s="8">
        <v>8</v>
      </c>
      <c r="G12" s="8">
        <v>8</v>
      </c>
      <c r="H12" s="8">
        <v>6</v>
      </c>
      <c r="I12" s="8">
        <v>4</v>
      </c>
      <c r="J12" s="8">
        <v>0</v>
      </c>
      <c r="L12" s="9" t="s">
        <v>243</v>
      </c>
      <c r="M12" s="8">
        <v>4</v>
      </c>
      <c r="N12" s="9" t="s">
        <v>243</v>
      </c>
      <c r="O12" s="8">
        <v>5</v>
      </c>
      <c r="P12" s="8">
        <v>5</v>
      </c>
      <c r="Q12" s="8">
        <v>1</v>
      </c>
      <c r="R12" s="1" t="s">
        <v>316</v>
      </c>
      <c r="S12" s="8">
        <v>4</v>
      </c>
    </row>
    <row r="13" spans="1:19" x14ac:dyDescent="0.2">
      <c r="A13" s="8">
        <v>9</v>
      </c>
      <c r="B13" s="8">
        <v>6</v>
      </c>
      <c r="C13" s="8">
        <v>3</v>
      </c>
      <c r="D13" s="8">
        <v>0</v>
      </c>
      <c r="F13" s="8">
        <v>9</v>
      </c>
      <c r="G13" s="8">
        <v>9</v>
      </c>
      <c r="H13" s="8">
        <v>6</v>
      </c>
      <c r="I13" s="8">
        <v>4</v>
      </c>
      <c r="J13" s="8">
        <v>0</v>
      </c>
      <c r="L13" s="9" t="s">
        <v>209</v>
      </c>
      <c r="M13" s="8">
        <v>5</v>
      </c>
      <c r="N13" s="9" t="s">
        <v>209</v>
      </c>
      <c r="O13" s="8">
        <v>5</v>
      </c>
      <c r="P13" s="8">
        <v>5</v>
      </c>
      <c r="Q13" s="8">
        <v>0</v>
      </c>
      <c r="R13" s="1" t="s">
        <v>168</v>
      </c>
      <c r="S13" s="8">
        <v>5</v>
      </c>
    </row>
    <row r="14" spans="1:19" x14ac:dyDescent="0.2">
      <c r="A14" s="8">
        <v>10</v>
      </c>
      <c r="B14" s="8">
        <v>7</v>
      </c>
      <c r="C14" s="8">
        <v>3</v>
      </c>
      <c r="D14" s="8">
        <v>0</v>
      </c>
      <c r="F14" s="8">
        <v>10</v>
      </c>
      <c r="G14" s="8">
        <v>10</v>
      </c>
      <c r="H14" s="8">
        <v>7</v>
      </c>
      <c r="I14" s="8">
        <v>5</v>
      </c>
      <c r="J14" s="8">
        <v>0</v>
      </c>
      <c r="L14" s="9" t="s">
        <v>329</v>
      </c>
      <c r="M14" s="8">
        <v>6</v>
      </c>
      <c r="N14" s="9" t="s">
        <v>329</v>
      </c>
      <c r="O14" s="8">
        <v>10</v>
      </c>
      <c r="P14" s="8">
        <v>10</v>
      </c>
      <c r="Q14" s="8">
        <v>-1</v>
      </c>
      <c r="R14" s="1" t="s">
        <v>369</v>
      </c>
      <c r="S14" s="8">
        <v>6</v>
      </c>
    </row>
    <row r="15" spans="1:19" x14ac:dyDescent="0.2">
      <c r="A15" s="8">
        <v>11</v>
      </c>
      <c r="B15" s="8">
        <v>7</v>
      </c>
      <c r="C15" s="8">
        <v>3</v>
      </c>
      <c r="D15" s="8">
        <v>0</v>
      </c>
      <c r="F15" s="8">
        <v>11</v>
      </c>
      <c r="G15" s="8">
        <v>11</v>
      </c>
      <c r="H15" s="8">
        <v>8</v>
      </c>
      <c r="I15" s="8">
        <v>5</v>
      </c>
      <c r="J15" s="8">
        <v>0</v>
      </c>
      <c r="L15" s="9" t="s">
        <v>169</v>
      </c>
      <c r="M15" s="8">
        <v>7</v>
      </c>
      <c r="N15" s="9" t="s">
        <v>169</v>
      </c>
      <c r="O15" s="8">
        <v>15</v>
      </c>
      <c r="P15" s="8">
        <v>15</v>
      </c>
      <c r="Q15" s="8">
        <v>-2</v>
      </c>
      <c r="R15" s="1" t="s">
        <v>370</v>
      </c>
      <c r="S15" s="8">
        <v>7</v>
      </c>
    </row>
    <row r="16" spans="1:19" x14ac:dyDescent="0.2">
      <c r="A16" s="8">
        <v>12</v>
      </c>
      <c r="B16" s="8">
        <v>8</v>
      </c>
      <c r="C16" s="8">
        <v>4</v>
      </c>
      <c r="D16" s="8">
        <v>0</v>
      </c>
      <c r="F16" s="8">
        <v>12</v>
      </c>
      <c r="G16" s="8">
        <v>12</v>
      </c>
      <c r="H16" s="8">
        <v>9</v>
      </c>
      <c r="I16" s="8">
        <v>6</v>
      </c>
      <c r="J16" s="8">
        <v>0</v>
      </c>
      <c r="L16" s="9" t="s">
        <v>362</v>
      </c>
      <c r="M16" s="8">
        <v>8</v>
      </c>
      <c r="N16" s="9" t="s">
        <v>362</v>
      </c>
      <c r="O16" s="8">
        <v>20</v>
      </c>
      <c r="P16" s="8">
        <v>20</v>
      </c>
      <c r="Q16" s="8">
        <v>-4</v>
      </c>
      <c r="R16" s="1" t="s">
        <v>371</v>
      </c>
      <c r="S16" s="8">
        <v>8</v>
      </c>
    </row>
    <row r="17" spans="1:20" x14ac:dyDescent="0.2">
      <c r="A17" s="8">
        <v>13</v>
      </c>
      <c r="B17" s="8">
        <v>8</v>
      </c>
      <c r="C17" s="8">
        <v>4</v>
      </c>
      <c r="D17" s="8">
        <v>0</v>
      </c>
      <c r="F17" s="8">
        <v>13</v>
      </c>
      <c r="G17" s="8">
        <v>13</v>
      </c>
      <c r="H17" s="8">
        <v>9</v>
      </c>
      <c r="I17" s="8">
        <v>6</v>
      </c>
      <c r="J17" s="8">
        <v>0</v>
      </c>
      <c r="L17" s="9" t="s">
        <v>363</v>
      </c>
      <c r="M17" s="8">
        <v>9</v>
      </c>
      <c r="N17" s="9" t="s">
        <v>363</v>
      </c>
      <c r="O17" s="8">
        <v>30</v>
      </c>
      <c r="P17" s="8">
        <v>30</v>
      </c>
      <c r="Q17" s="8">
        <v>-8</v>
      </c>
      <c r="R17" s="1" t="s">
        <v>372</v>
      </c>
      <c r="S17" s="8">
        <v>9</v>
      </c>
    </row>
    <row r="18" spans="1:20" x14ac:dyDescent="0.2">
      <c r="A18" s="8">
        <v>14</v>
      </c>
      <c r="B18" s="8">
        <v>9</v>
      </c>
      <c r="C18" s="8">
        <v>4</v>
      </c>
      <c r="D18" s="8">
        <v>0</v>
      </c>
      <c r="F18" s="8">
        <v>14</v>
      </c>
      <c r="G18" s="8">
        <v>14</v>
      </c>
      <c r="H18" s="8">
        <v>10</v>
      </c>
      <c r="I18" s="8">
        <v>7</v>
      </c>
      <c r="J18" s="8">
        <v>0</v>
      </c>
    </row>
    <row r="19" spans="1:20" x14ac:dyDescent="0.2">
      <c r="A19" s="8">
        <v>15</v>
      </c>
      <c r="B19" s="8">
        <v>9</v>
      </c>
      <c r="C19" s="8">
        <v>5</v>
      </c>
      <c r="D19" s="8">
        <v>0</v>
      </c>
      <c r="F19" s="8">
        <v>15</v>
      </c>
      <c r="G19" s="8">
        <v>15</v>
      </c>
      <c r="H19" s="8">
        <v>11</v>
      </c>
      <c r="I19" s="8">
        <v>7</v>
      </c>
      <c r="J19" s="8">
        <v>0</v>
      </c>
    </row>
    <row r="20" spans="1:20" x14ac:dyDescent="0.2">
      <c r="A20" s="8">
        <v>16</v>
      </c>
      <c r="B20" s="8">
        <v>10</v>
      </c>
      <c r="C20" s="8">
        <v>5</v>
      </c>
      <c r="D20" s="8">
        <v>0</v>
      </c>
      <c r="F20" s="8">
        <v>16</v>
      </c>
      <c r="G20" s="8">
        <v>16</v>
      </c>
      <c r="H20" s="8">
        <v>12</v>
      </c>
      <c r="I20" s="8">
        <v>8</v>
      </c>
      <c r="J20" s="8">
        <v>0</v>
      </c>
      <c r="L20" s="9" t="s">
        <v>523</v>
      </c>
      <c r="M20" s="1" t="s">
        <v>524</v>
      </c>
      <c r="N20" s="9" t="s">
        <v>525</v>
      </c>
    </row>
    <row r="21" spans="1:20" x14ac:dyDescent="0.2">
      <c r="A21" s="8">
        <v>17</v>
      </c>
      <c r="B21" s="8">
        <v>10</v>
      </c>
      <c r="C21" s="8">
        <v>5</v>
      </c>
      <c r="D21" s="8">
        <v>0</v>
      </c>
      <c r="F21" s="8">
        <v>17</v>
      </c>
      <c r="G21" s="8">
        <v>17</v>
      </c>
      <c r="H21" s="8">
        <v>12</v>
      </c>
      <c r="I21" s="8">
        <v>8</v>
      </c>
      <c r="J21" s="8">
        <v>0</v>
      </c>
      <c r="L21" s="9" t="s">
        <v>308</v>
      </c>
      <c r="M21" t="b">
        <v>0</v>
      </c>
      <c r="N21" s="9" t="s">
        <v>306</v>
      </c>
      <c r="P21" t="str">
        <f t="array" ref="P21">StringConcat(", ", IF('Active Spells'!$A$4:$A$6401=1, 'Active Spells'!$J$4:$J$6401, ""))</f>
        <v>0, Extra attack to full attack, Immune to Crits, Minimum damage from falling, 0, regen 4/rd - only hurt by fire and acid, Stay within 60ft of party - 30 DR, Winged = 100' Horns = 1d8+1.5(str bonus), 0, attacks, saves, still checks - Fear Immunity - 20 temp HP, Target immune to death spells and effects, energy drain, negative energy effects, and undead special attacks that do ability damage, drain or disease.  Ghost touch property., d6+12 divine dmg to melee attacker who hit you without reach. Take half save for none vs. fire attacks, DR 15/-  Expires after absorbing 150 points, 0, Hide bonus, 260 points versus fire 10% added to health</v>
      </c>
    </row>
    <row r="22" spans="1:20" x14ac:dyDescent="0.2">
      <c r="A22" s="8">
        <v>18</v>
      </c>
      <c r="B22" s="8">
        <v>11</v>
      </c>
      <c r="C22" s="8">
        <v>6</v>
      </c>
      <c r="D22" s="8">
        <v>0</v>
      </c>
      <c r="F22" s="8">
        <v>18</v>
      </c>
      <c r="G22" s="8">
        <v>18</v>
      </c>
      <c r="H22" s="8">
        <v>13</v>
      </c>
      <c r="I22" s="8">
        <v>9</v>
      </c>
      <c r="J22" s="8">
        <v>0</v>
      </c>
      <c r="L22" s="9" t="s">
        <v>310</v>
      </c>
      <c r="M22" t="b">
        <v>1</v>
      </c>
      <c r="N22" s="9" t="s">
        <v>305</v>
      </c>
      <c r="P22" t="str">
        <f t="array" ref="P22">StringConcat(", ", IF(Equipment!$A$7:$A$6402=1, Equipment!$J$7:$J$6402, ""))</f>
        <v>0, 0, 0, 0, 0, 0, 0, 0, 0, 0, 0, 0, 0, 0, 0, 0, 0, 0, 0,  , 0, 0, 0, 0, 0, 0, 0, 0, 0, 0, 0, 0, 0, 0, 0</v>
      </c>
    </row>
    <row r="23" spans="1:20" x14ac:dyDescent="0.2">
      <c r="A23" s="8">
        <v>19</v>
      </c>
      <c r="B23" s="8">
        <v>11</v>
      </c>
      <c r="C23" s="8">
        <v>6</v>
      </c>
      <c r="D23" s="8">
        <v>0</v>
      </c>
      <c r="F23" s="8">
        <v>19</v>
      </c>
      <c r="G23" s="8">
        <v>19</v>
      </c>
      <c r="H23" s="8">
        <v>14</v>
      </c>
      <c r="I23" s="8">
        <v>9</v>
      </c>
      <c r="J23" s="8">
        <v>0</v>
      </c>
      <c r="L23" s="9" t="s">
        <v>311</v>
      </c>
    </row>
    <row r="24" spans="1:20" x14ac:dyDescent="0.2">
      <c r="A24" s="8">
        <v>20</v>
      </c>
      <c r="B24" s="8">
        <v>12</v>
      </c>
      <c r="C24" s="8">
        <v>6</v>
      </c>
      <c r="D24" s="8">
        <v>0</v>
      </c>
      <c r="F24" s="8">
        <v>20</v>
      </c>
      <c r="G24" s="8">
        <v>20</v>
      </c>
      <c r="H24" s="8">
        <v>15</v>
      </c>
      <c r="I24" s="8">
        <v>10</v>
      </c>
      <c r="J24" s="8">
        <v>0</v>
      </c>
      <c r="L24" s="9" t="s">
        <v>527</v>
      </c>
    </row>
    <row r="26" spans="1:20" x14ac:dyDescent="0.2">
      <c r="A26" s="1" t="s">
        <v>374</v>
      </c>
      <c r="B26" t="s">
        <v>20</v>
      </c>
      <c r="C26" t="s">
        <v>396</v>
      </c>
      <c r="D26" t="s">
        <v>397</v>
      </c>
      <c r="E26" t="s">
        <v>318</v>
      </c>
      <c r="F26" s="1" t="s">
        <v>529</v>
      </c>
      <c r="G26" t="s">
        <v>395</v>
      </c>
      <c r="H26" s="1" t="s">
        <v>315</v>
      </c>
      <c r="I26" s="1" t="s">
        <v>214</v>
      </c>
      <c r="J26" s="1" t="s">
        <v>231</v>
      </c>
      <c r="L26" s="9" t="s">
        <v>535</v>
      </c>
    </row>
    <row r="27" spans="1:20" x14ac:dyDescent="0.2">
      <c r="A27" t="s">
        <v>376</v>
      </c>
      <c r="B27" t="s">
        <v>398</v>
      </c>
      <c r="C27" t="s">
        <v>365</v>
      </c>
      <c r="D27" t="s">
        <v>366</v>
      </c>
      <c r="E27" t="s">
        <v>389</v>
      </c>
      <c r="F27" s="1" t="s">
        <v>393</v>
      </c>
      <c r="G27" t="s">
        <v>375</v>
      </c>
      <c r="H27" t="s">
        <v>399</v>
      </c>
      <c r="I27" t="s">
        <v>400</v>
      </c>
      <c r="J27" t="s">
        <v>565</v>
      </c>
      <c r="L27">
        <v>1</v>
      </c>
      <c r="M27" s="1" t="s">
        <v>365</v>
      </c>
      <c r="N27" s="1" t="s">
        <v>366</v>
      </c>
      <c r="O27" s="1" t="s">
        <v>367</v>
      </c>
      <c r="P27" s="1" t="s">
        <v>368</v>
      </c>
      <c r="Q27" s="1" t="s">
        <v>316</v>
      </c>
      <c r="T27" s="1"/>
    </row>
    <row r="28" spans="1:20" x14ac:dyDescent="0.2">
      <c r="A28" t="s">
        <v>401</v>
      </c>
      <c r="B28" t="s">
        <v>375</v>
      </c>
      <c r="C28" s="1" t="s">
        <v>365</v>
      </c>
      <c r="D28" s="1" t="s">
        <v>366</v>
      </c>
      <c r="E28" t="s">
        <v>389</v>
      </c>
      <c r="F28" s="1" t="s">
        <v>393</v>
      </c>
      <c r="G28" t="s">
        <v>375</v>
      </c>
      <c r="H28" t="s">
        <v>375</v>
      </c>
      <c r="I28" t="s">
        <v>400</v>
      </c>
      <c r="J28" t="s">
        <v>565</v>
      </c>
      <c r="L28" s="9" t="s">
        <v>365</v>
      </c>
      <c r="M28" s="1" t="s">
        <v>366</v>
      </c>
      <c r="N28" s="1" t="s">
        <v>367</v>
      </c>
      <c r="O28" s="1" t="s">
        <v>368</v>
      </c>
      <c r="P28" s="1" t="s">
        <v>316</v>
      </c>
      <c r="Q28" s="1" t="s">
        <v>168</v>
      </c>
      <c r="T28" s="1"/>
    </row>
    <row r="29" spans="1:20" x14ac:dyDescent="0.2">
      <c r="A29" t="s">
        <v>314</v>
      </c>
      <c r="B29" t="s">
        <v>398</v>
      </c>
      <c r="C29" t="s">
        <v>366</v>
      </c>
      <c r="D29" t="s">
        <v>367</v>
      </c>
      <c r="E29" t="s">
        <v>393</v>
      </c>
      <c r="F29" s="1" t="s">
        <v>530</v>
      </c>
      <c r="G29" t="s">
        <v>402</v>
      </c>
      <c r="H29" t="s">
        <v>399</v>
      </c>
      <c r="I29" t="s">
        <v>403</v>
      </c>
      <c r="J29" t="s">
        <v>565</v>
      </c>
      <c r="L29" s="1" t="s">
        <v>366</v>
      </c>
      <c r="M29" s="1" t="s">
        <v>367</v>
      </c>
      <c r="N29" s="1" t="s">
        <v>368</v>
      </c>
      <c r="O29" s="1" t="s">
        <v>316</v>
      </c>
      <c r="P29" s="1" t="s">
        <v>168</v>
      </c>
      <c r="Q29" s="1" t="s">
        <v>369</v>
      </c>
    </row>
    <row r="30" spans="1:20" x14ac:dyDescent="0.2">
      <c r="A30" t="s">
        <v>404</v>
      </c>
      <c r="B30" t="s">
        <v>398</v>
      </c>
      <c r="C30" t="s">
        <v>366</v>
      </c>
      <c r="D30" t="s">
        <v>367</v>
      </c>
      <c r="E30" t="s">
        <v>390</v>
      </c>
      <c r="F30" s="1" t="s">
        <v>531</v>
      </c>
      <c r="G30" t="s">
        <v>375</v>
      </c>
      <c r="H30" t="s">
        <v>399</v>
      </c>
      <c r="I30" t="s">
        <v>405</v>
      </c>
      <c r="J30" t="s">
        <v>565</v>
      </c>
      <c r="L30" s="9" t="s">
        <v>367</v>
      </c>
      <c r="M30" s="1" t="s">
        <v>368</v>
      </c>
      <c r="N30" s="1" t="s">
        <v>316</v>
      </c>
      <c r="O30" s="1" t="s">
        <v>168</v>
      </c>
      <c r="P30" s="1" t="s">
        <v>369</v>
      </c>
      <c r="Q30" s="1" t="s">
        <v>370</v>
      </c>
    </row>
    <row r="31" spans="1:20" x14ac:dyDescent="0.2">
      <c r="A31" t="s">
        <v>406</v>
      </c>
      <c r="B31" t="s">
        <v>407</v>
      </c>
      <c r="C31" t="s">
        <v>366</v>
      </c>
      <c r="D31" t="s">
        <v>367</v>
      </c>
      <c r="E31" t="s">
        <v>389</v>
      </c>
      <c r="F31" s="1" t="s">
        <v>393</v>
      </c>
      <c r="G31" t="s">
        <v>375</v>
      </c>
      <c r="H31" t="s">
        <v>399</v>
      </c>
      <c r="I31" t="s">
        <v>405</v>
      </c>
      <c r="J31" t="s">
        <v>565</v>
      </c>
      <c r="L31" s="1" t="s">
        <v>368</v>
      </c>
      <c r="M31" s="1" t="s">
        <v>316</v>
      </c>
      <c r="N31" s="1" t="s">
        <v>168</v>
      </c>
      <c r="O31" s="1" t="s">
        <v>369</v>
      </c>
      <c r="P31" s="1" t="s">
        <v>370</v>
      </c>
      <c r="Q31" s="1" t="s">
        <v>371</v>
      </c>
    </row>
    <row r="32" spans="1:20" x14ac:dyDescent="0.2">
      <c r="A32" t="s">
        <v>408</v>
      </c>
      <c r="B32" t="s">
        <v>407</v>
      </c>
      <c r="C32" t="s">
        <v>367</v>
      </c>
      <c r="D32" t="s">
        <v>368</v>
      </c>
      <c r="E32" t="s">
        <v>389</v>
      </c>
      <c r="F32" s="1" t="s">
        <v>393</v>
      </c>
      <c r="G32" t="s">
        <v>375</v>
      </c>
      <c r="H32" t="s">
        <v>409</v>
      </c>
      <c r="I32" t="s">
        <v>400</v>
      </c>
      <c r="J32" t="s">
        <v>565</v>
      </c>
      <c r="L32" s="9" t="s">
        <v>379</v>
      </c>
      <c r="M32" s="1" t="s">
        <v>168</v>
      </c>
      <c r="N32" s="1" t="s">
        <v>369</v>
      </c>
      <c r="O32" s="1" t="s">
        <v>370</v>
      </c>
      <c r="P32" s="1" t="s">
        <v>371</v>
      </c>
      <c r="Q32" s="1" t="s">
        <v>387</v>
      </c>
    </row>
    <row r="33" spans="1:18" x14ac:dyDescent="0.2">
      <c r="A33" t="s">
        <v>410</v>
      </c>
      <c r="B33" t="s">
        <v>411</v>
      </c>
      <c r="C33" t="s">
        <v>367</v>
      </c>
      <c r="D33" t="s">
        <v>368</v>
      </c>
      <c r="E33" t="s">
        <v>389</v>
      </c>
      <c r="F33" s="1" t="s">
        <v>393</v>
      </c>
      <c r="G33" t="s">
        <v>375</v>
      </c>
      <c r="H33" t="s">
        <v>412</v>
      </c>
      <c r="I33" t="s">
        <v>413</v>
      </c>
      <c r="J33" t="s">
        <v>565</v>
      </c>
      <c r="L33" s="1" t="s">
        <v>316</v>
      </c>
      <c r="M33" s="1" t="s">
        <v>168</v>
      </c>
      <c r="N33" s="1" t="s">
        <v>369</v>
      </c>
      <c r="O33" s="1" t="s">
        <v>370</v>
      </c>
      <c r="P33" s="1" t="s">
        <v>371</v>
      </c>
      <c r="Q33" s="1" t="s">
        <v>387</v>
      </c>
      <c r="R33" s="1"/>
    </row>
    <row r="34" spans="1:18" x14ac:dyDescent="0.2">
      <c r="A34" t="s">
        <v>414</v>
      </c>
      <c r="B34" t="s">
        <v>375</v>
      </c>
      <c r="C34" t="s">
        <v>367</v>
      </c>
      <c r="D34" t="s">
        <v>368</v>
      </c>
      <c r="E34" t="s">
        <v>389</v>
      </c>
      <c r="F34" s="1" t="s">
        <v>393</v>
      </c>
      <c r="G34" t="s">
        <v>402</v>
      </c>
      <c r="H34" t="s">
        <v>415</v>
      </c>
      <c r="I34" t="s">
        <v>400</v>
      </c>
      <c r="J34" t="s">
        <v>565</v>
      </c>
      <c r="L34" s="9" t="s">
        <v>380</v>
      </c>
      <c r="M34" s="1" t="s">
        <v>381</v>
      </c>
      <c r="N34" s="1" t="s">
        <v>382</v>
      </c>
      <c r="O34" s="1" t="s">
        <v>383</v>
      </c>
      <c r="P34" s="1" t="s">
        <v>384</v>
      </c>
      <c r="Q34" s="1" t="s">
        <v>372</v>
      </c>
      <c r="R34" s="1"/>
    </row>
    <row r="35" spans="1:18" x14ac:dyDescent="0.2">
      <c r="A35" t="s">
        <v>416</v>
      </c>
      <c r="B35" t="s">
        <v>417</v>
      </c>
      <c r="C35" t="s">
        <v>368</v>
      </c>
      <c r="D35" t="s">
        <v>316</v>
      </c>
      <c r="E35" t="s">
        <v>389</v>
      </c>
      <c r="F35" s="1" t="s">
        <v>393</v>
      </c>
      <c r="G35" t="s">
        <v>375</v>
      </c>
      <c r="H35" t="s">
        <v>418</v>
      </c>
      <c r="I35" t="s">
        <v>400</v>
      </c>
      <c r="J35" t="s">
        <v>565</v>
      </c>
      <c r="L35" s="1" t="s">
        <v>386</v>
      </c>
      <c r="M35" s="1" t="s">
        <v>369</v>
      </c>
      <c r="N35" s="1" t="s">
        <v>370</v>
      </c>
      <c r="O35" s="1" t="s">
        <v>371</v>
      </c>
      <c r="P35" s="1" t="s">
        <v>387</v>
      </c>
      <c r="Q35" s="1" t="s">
        <v>536</v>
      </c>
      <c r="R35" s="1"/>
    </row>
    <row r="36" spans="1:18" x14ac:dyDescent="0.2">
      <c r="A36" t="s">
        <v>419</v>
      </c>
      <c r="B36" t="s">
        <v>420</v>
      </c>
      <c r="C36" t="s">
        <v>368</v>
      </c>
      <c r="D36" t="s">
        <v>316</v>
      </c>
      <c r="E36" t="s">
        <v>389</v>
      </c>
      <c r="F36" s="1" t="s">
        <v>393</v>
      </c>
      <c r="G36" t="s">
        <v>375</v>
      </c>
      <c r="H36" t="s">
        <v>421</v>
      </c>
      <c r="I36" t="s">
        <v>422</v>
      </c>
      <c r="J36" t="s">
        <v>565</v>
      </c>
      <c r="L36" s="9" t="s">
        <v>168</v>
      </c>
      <c r="M36" s="1" t="s">
        <v>369</v>
      </c>
      <c r="N36" s="1" t="s">
        <v>370</v>
      </c>
      <c r="O36" s="1" t="s">
        <v>371</v>
      </c>
      <c r="P36" s="1" t="s">
        <v>387</v>
      </c>
      <c r="Q36" s="1" t="s">
        <v>536</v>
      </c>
      <c r="R36" s="1"/>
    </row>
    <row r="37" spans="1:18" x14ac:dyDescent="0.2">
      <c r="A37" t="s">
        <v>377</v>
      </c>
      <c r="B37" t="s">
        <v>423</v>
      </c>
      <c r="C37" t="s">
        <v>367</v>
      </c>
      <c r="D37" t="s">
        <v>368</v>
      </c>
      <c r="E37" t="s">
        <v>389</v>
      </c>
      <c r="F37" s="1" t="s">
        <v>393</v>
      </c>
      <c r="G37" t="s">
        <v>424</v>
      </c>
      <c r="H37" t="s">
        <v>415</v>
      </c>
      <c r="I37" t="s">
        <v>405</v>
      </c>
      <c r="J37" t="s">
        <v>565</v>
      </c>
      <c r="L37" s="1" t="s">
        <v>381</v>
      </c>
      <c r="M37" s="1" t="s">
        <v>382</v>
      </c>
      <c r="N37" s="1" t="s">
        <v>383</v>
      </c>
      <c r="O37" s="1" t="s">
        <v>384</v>
      </c>
      <c r="P37" s="1" t="s">
        <v>372</v>
      </c>
      <c r="Q37" s="1" t="s">
        <v>537</v>
      </c>
    </row>
    <row r="38" spans="1:18" x14ac:dyDescent="0.2">
      <c r="A38" s="1" t="s">
        <v>513</v>
      </c>
      <c r="B38" t="s">
        <v>407</v>
      </c>
      <c r="C38" t="s">
        <v>368</v>
      </c>
      <c r="D38" t="s">
        <v>316</v>
      </c>
      <c r="E38" t="s">
        <v>390</v>
      </c>
      <c r="F38" s="1" t="s">
        <v>531</v>
      </c>
      <c r="G38" t="s">
        <v>375</v>
      </c>
      <c r="H38" t="s">
        <v>425</v>
      </c>
      <c r="I38" t="s">
        <v>405</v>
      </c>
      <c r="J38" t="s">
        <v>565</v>
      </c>
      <c r="L38" s="9" t="s">
        <v>369</v>
      </c>
      <c r="M38" s="1" t="s">
        <v>370</v>
      </c>
      <c r="N38" s="1" t="s">
        <v>371</v>
      </c>
      <c r="O38" s="1" t="s">
        <v>387</v>
      </c>
      <c r="P38" s="1" t="s">
        <v>536</v>
      </c>
      <c r="Q38" s="1" t="s">
        <v>538</v>
      </c>
    </row>
    <row r="39" spans="1:18" x14ac:dyDescent="0.2">
      <c r="A39" s="1" t="s">
        <v>514</v>
      </c>
      <c r="B39" t="s">
        <v>375</v>
      </c>
      <c r="C39" t="s">
        <v>426</v>
      </c>
      <c r="D39" t="s">
        <v>427</v>
      </c>
      <c r="E39" t="s">
        <v>389</v>
      </c>
      <c r="F39" s="1" t="s">
        <v>393</v>
      </c>
      <c r="G39" t="s">
        <v>375</v>
      </c>
      <c r="H39" t="s">
        <v>409</v>
      </c>
      <c r="I39" t="s">
        <v>400</v>
      </c>
      <c r="J39" t="s">
        <v>565</v>
      </c>
      <c r="L39" s="1" t="s">
        <v>382</v>
      </c>
      <c r="M39" s="1" t="s">
        <v>383</v>
      </c>
      <c r="N39" s="1" t="s">
        <v>384</v>
      </c>
      <c r="O39" s="1" t="s">
        <v>372</v>
      </c>
      <c r="P39" s="1" t="s">
        <v>537</v>
      </c>
      <c r="Q39" s="1" t="s">
        <v>539</v>
      </c>
    </row>
    <row r="40" spans="1:18" x14ac:dyDescent="0.2">
      <c r="A40" t="s">
        <v>428</v>
      </c>
      <c r="B40" t="s">
        <v>398</v>
      </c>
      <c r="C40" t="s">
        <v>368</v>
      </c>
      <c r="D40" t="s">
        <v>316</v>
      </c>
      <c r="E40" t="s">
        <v>390</v>
      </c>
      <c r="F40" s="1" t="s">
        <v>531</v>
      </c>
      <c r="G40" t="s">
        <v>424</v>
      </c>
      <c r="H40" t="s">
        <v>421</v>
      </c>
      <c r="I40" t="s">
        <v>405</v>
      </c>
      <c r="J40" t="s">
        <v>565</v>
      </c>
      <c r="L40" s="9" t="s">
        <v>370</v>
      </c>
      <c r="M40" s="1" t="s">
        <v>371</v>
      </c>
      <c r="N40" s="1" t="s">
        <v>387</v>
      </c>
      <c r="O40" s="1" t="s">
        <v>536</v>
      </c>
      <c r="P40" s="1" t="s">
        <v>538</v>
      </c>
      <c r="Q40" s="1" t="s">
        <v>540</v>
      </c>
    </row>
    <row r="41" spans="1:18" x14ac:dyDescent="0.2">
      <c r="A41" t="s">
        <v>429</v>
      </c>
      <c r="B41" t="s">
        <v>430</v>
      </c>
      <c r="C41" t="s">
        <v>316</v>
      </c>
      <c r="D41" t="s">
        <v>380</v>
      </c>
      <c r="E41" t="s">
        <v>393</v>
      </c>
      <c r="F41" s="1" t="s">
        <v>530</v>
      </c>
      <c r="G41" t="s">
        <v>431</v>
      </c>
      <c r="H41" t="s">
        <v>418</v>
      </c>
      <c r="I41" t="s">
        <v>405</v>
      </c>
      <c r="J41" t="s">
        <v>565</v>
      </c>
      <c r="L41" s="1" t="s">
        <v>383</v>
      </c>
      <c r="M41" s="1" t="s">
        <v>384</v>
      </c>
      <c r="N41" s="1" t="s">
        <v>372</v>
      </c>
      <c r="O41" s="1" t="s">
        <v>537</v>
      </c>
      <c r="P41" s="1" t="s">
        <v>539</v>
      </c>
      <c r="Q41" s="1" t="s">
        <v>541</v>
      </c>
    </row>
    <row r="42" spans="1:18" x14ac:dyDescent="0.2">
      <c r="A42" t="s">
        <v>432</v>
      </c>
      <c r="B42" t="s">
        <v>433</v>
      </c>
      <c r="C42" t="s">
        <v>368</v>
      </c>
      <c r="D42" t="s">
        <v>316</v>
      </c>
      <c r="E42" t="s">
        <v>393</v>
      </c>
      <c r="F42" s="1" t="s">
        <v>530</v>
      </c>
      <c r="G42" t="s">
        <v>434</v>
      </c>
      <c r="H42" t="s">
        <v>409</v>
      </c>
      <c r="I42" t="s">
        <v>405</v>
      </c>
      <c r="J42" t="s">
        <v>565</v>
      </c>
    </row>
    <row r="43" spans="1:18" x14ac:dyDescent="0.2">
      <c r="A43" t="s">
        <v>435</v>
      </c>
      <c r="B43" t="s">
        <v>436</v>
      </c>
      <c r="C43" t="s">
        <v>366</v>
      </c>
      <c r="D43" t="s">
        <v>367</v>
      </c>
      <c r="E43" t="s">
        <v>389</v>
      </c>
      <c r="F43" s="1" t="s">
        <v>393</v>
      </c>
      <c r="G43" t="s">
        <v>424</v>
      </c>
      <c r="H43" t="s">
        <v>437</v>
      </c>
      <c r="I43" t="s">
        <v>405</v>
      </c>
      <c r="J43" t="s">
        <v>565</v>
      </c>
    </row>
    <row r="44" spans="1:18" x14ac:dyDescent="0.2">
      <c r="A44" t="s">
        <v>438</v>
      </c>
      <c r="B44" t="s">
        <v>423</v>
      </c>
      <c r="C44" t="s">
        <v>367</v>
      </c>
      <c r="D44" t="s">
        <v>368</v>
      </c>
      <c r="E44" t="s">
        <v>389</v>
      </c>
      <c r="F44" s="1" t="s">
        <v>393</v>
      </c>
      <c r="G44" t="s">
        <v>439</v>
      </c>
      <c r="H44" t="s">
        <v>412</v>
      </c>
      <c r="I44" t="s">
        <v>405</v>
      </c>
      <c r="J44" t="s">
        <v>565</v>
      </c>
    </row>
    <row r="45" spans="1:18" x14ac:dyDescent="0.2">
      <c r="A45" t="s">
        <v>440</v>
      </c>
      <c r="B45" t="s">
        <v>375</v>
      </c>
      <c r="C45" t="s">
        <v>366</v>
      </c>
      <c r="D45" t="s">
        <v>367</v>
      </c>
      <c r="E45" t="s">
        <v>389</v>
      </c>
      <c r="F45" s="1" t="s">
        <v>393</v>
      </c>
      <c r="G45" t="s">
        <v>441</v>
      </c>
      <c r="H45" t="s">
        <v>442</v>
      </c>
      <c r="I45" t="s">
        <v>400</v>
      </c>
      <c r="J45" t="s">
        <v>565</v>
      </c>
    </row>
    <row r="46" spans="1:18" x14ac:dyDescent="0.2">
      <c r="A46" t="s">
        <v>444</v>
      </c>
      <c r="B46" t="s">
        <v>420</v>
      </c>
      <c r="C46" t="s">
        <v>367</v>
      </c>
      <c r="D46" t="s">
        <v>368</v>
      </c>
      <c r="E46" t="s">
        <v>389</v>
      </c>
      <c r="F46" s="1" t="s">
        <v>393</v>
      </c>
      <c r="G46" t="s">
        <v>402</v>
      </c>
      <c r="H46" t="s">
        <v>412</v>
      </c>
      <c r="I46" t="s">
        <v>413</v>
      </c>
      <c r="J46" t="s">
        <v>565</v>
      </c>
    </row>
    <row r="47" spans="1:18" x14ac:dyDescent="0.2">
      <c r="A47" t="s">
        <v>445</v>
      </c>
      <c r="B47" t="s">
        <v>423</v>
      </c>
      <c r="C47" t="s">
        <v>366</v>
      </c>
      <c r="D47" t="s">
        <v>367</v>
      </c>
      <c r="E47" t="s">
        <v>389</v>
      </c>
      <c r="F47" s="1" t="s">
        <v>393</v>
      </c>
      <c r="G47" t="s">
        <v>424</v>
      </c>
      <c r="H47" t="s">
        <v>412</v>
      </c>
      <c r="I47" t="s">
        <v>400</v>
      </c>
      <c r="J47" t="s">
        <v>565</v>
      </c>
    </row>
    <row r="48" spans="1:18" x14ac:dyDescent="0.2">
      <c r="A48" t="s">
        <v>446</v>
      </c>
      <c r="B48" t="s">
        <v>411</v>
      </c>
      <c r="C48" t="s">
        <v>367</v>
      </c>
      <c r="D48" t="s">
        <v>368</v>
      </c>
      <c r="E48" t="s">
        <v>390</v>
      </c>
      <c r="F48" s="1" t="s">
        <v>531</v>
      </c>
      <c r="G48" t="s">
        <v>375</v>
      </c>
      <c r="H48" t="s">
        <v>415</v>
      </c>
      <c r="I48" t="s">
        <v>413</v>
      </c>
      <c r="J48" t="s">
        <v>565</v>
      </c>
    </row>
    <row r="49" spans="1:10" x14ac:dyDescent="0.2">
      <c r="A49" t="s">
        <v>447</v>
      </c>
      <c r="B49" t="s">
        <v>420</v>
      </c>
      <c r="C49" t="s">
        <v>366</v>
      </c>
      <c r="D49" t="s">
        <v>367</v>
      </c>
      <c r="E49" t="s">
        <v>394</v>
      </c>
      <c r="F49" s="1" t="s">
        <v>533</v>
      </c>
      <c r="G49" t="s">
        <v>375</v>
      </c>
      <c r="H49" t="s">
        <v>412</v>
      </c>
      <c r="I49" t="s">
        <v>413</v>
      </c>
      <c r="J49" t="s">
        <v>565</v>
      </c>
    </row>
    <row r="50" spans="1:10" x14ac:dyDescent="0.2">
      <c r="A50" t="s">
        <v>448</v>
      </c>
      <c r="B50" t="s">
        <v>449</v>
      </c>
      <c r="C50" t="s">
        <v>366</v>
      </c>
      <c r="D50" t="s">
        <v>367</v>
      </c>
      <c r="E50" t="s">
        <v>392</v>
      </c>
      <c r="F50" s="1" t="s">
        <v>532</v>
      </c>
      <c r="G50" t="s">
        <v>375</v>
      </c>
      <c r="H50" t="s">
        <v>415</v>
      </c>
      <c r="I50" t="s">
        <v>405</v>
      </c>
      <c r="J50" t="s">
        <v>565</v>
      </c>
    </row>
    <row r="51" spans="1:10" x14ac:dyDescent="0.2">
      <c r="A51" t="s">
        <v>450</v>
      </c>
      <c r="B51" t="s">
        <v>423</v>
      </c>
      <c r="C51" s="1" t="s">
        <v>367</v>
      </c>
      <c r="D51" s="1" t="s">
        <v>368</v>
      </c>
      <c r="E51" t="s">
        <v>389</v>
      </c>
      <c r="F51" s="1" t="s">
        <v>393</v>
      </c>
      <c r="G51" t="s">
        <v>375</v>
      </c>
      <c r="H51" t="s">
        <v>412</v>
      </c>
      <c r="I51" t="s">
        <v>400</v>
      </c>
      <c r="J51" t="s">
        <v>565</v>
      </c>
    </row>
    <row r="52" spans="1:10" x14ac:dyDescent="0.2">
      <c r="A52" t="s">
        <v>451</v>
      </c>
      <c r="B52" t="s">
        <v>452</v>
      </c>
      <c r="C52" t="s">
        <v>365</v>
      </c>
      <c r="D52" t="s">
        <v>366</v>
      </c>
      <c r="E52" t="s">
        <v>389</v>
      </c>
      <c r="F52" s="1" t="s">
        <v>393</v>
      </c>
      <c r="G52" t="s">
        <v>375</v>
      </c>
      <c r="H52" t="s">
        <v>452</v>
      </c>
      <c r="I52" t="s">
        <v>400</v>
      </c>
      <c r="J52" t="s">
        <v>565</v>
      </c>
    </row>
    <row r="53" spans="1:10" x14ac:dyDescent="0.2">
      <c r="A53" t="s">
        <v>453</v>
      </c>
      <c r="B53" t="s">
        <v>452</v>
      </c>
      <c r="C53" t="s">
        <v>367</v>
      </c>
      <c r="D53" t="s">
        <v>368</v>
      </c>
      <c r="E53" t="s">
        <v>389</v>
      </c>
      <c r="F53" s="1" t="s">
        <v>393</v>
      </c>
      <c r="G53" t="s">
        <v>375</v>
      </c>
      <c r="H53" t="s">
        <v>452</v>
      </c>
      <c r="I53" t="s">
        <v>405</v>
      </c>
      <c r="J53" t="s">
        <v>565</v>
      </c>
    </row>
    <row r="54" spans="1:10" x14ac:dyDescent="0.2">
      <c r="A54" t="s">
        <v>454</v>
      </c>
      <c r="B54" t="s">
        <v>452</v>
      </c>
      <c r="C54" t="s">
        <v>366</v>
      </c>
      <c r="D54" t="s">
        <v>367</v>
      </c>
      <c r="E54" t="s">
        <v>389</v>
      </c>
      <c r="F54" s="1" t="s">
        <v>393</v>
      </c>
      <c r="G54" t="s">
        <v>375</v>
      </c>
      <c r="H54" t="s">
        <v>452</v>
      </c>
      <c r="I54" t="s">
        <v>405</v>
      </c>
      <c r="J54" t="s">
        <v>565</v>
      </c>
    </row>
    <row r="55" spans="1:10" x14ac:dyDescent="0.2">
      <c r="A55" t="s">
        <v>455</v>
      </c>
      <c r="B55" t="s">
        <v>456</v>
      </c>
      <c r="C55" t="s">
        <v>367</v>
      </c>
      <c r="D55" t="s">
        <v>368</v>
      </c>
      <c r="E55" t="s">
        <v>393</v>
      </c>
      <c r="F55" s="1" t="s">
        <v>530</v>
      </c>
      <c r="G55" t="s">
        <v>375</v>
      </c>
      <c r="H55" t="s">
        <v>412</v>
      </c>
      <c r="I55" t="s">
        <v>405</v>
      </c>
      <c r="J55" t="s">
        <v>565</v>
      </c>
    </row>
    <row r="56" spans="1:10" x14ac:dyDescent="0.2">
      <c r="A56" t="s">
        <v>457</v>
      </c>
      <c r="B56" t="s">
        <v>456</v>
      </c>
      <c r="C56" t="s">
        <v>368</v>
      </c>
      <c r="D56" t="s">
        <v>316</v>
      </c>
      <c r="E56" t="s">
        <v>390</v>
      </c>
      <c r="F56" s="1" t="s">
        <v>531</v>
      </c>
      <c r="G56" t="s">
        <v>375</v>
      </c>
      <c r="H56" t="s">
        <v>421</v>
      </c>
      <c r="I56" t="s">
        <v>413</v>
      </c>
      <c r="J56" t="s">
        <v>565</v>
      </c>
    </row>
    <row r="57" spans="1:10" x14ac:dyDescent="0.2">
      <c r="A57" t="s">
        <v>458</v>
      </c>
      <c r="B57" t="s">
        <v>420</v>
      </c>
      <c r="C57" t="s">
        <v>368</v>
      </c>
      <c r="D57" t="s">
        <v>316</v>
      </c>
      <c r="E57" t="s">
        <v>389</v>
      </c>
      <c r="F57" s="1" t="s">
        <v>393</v>
      </c>
      <c r="G57" t="s">
        <v>375</v>
      </c>
      <c r="H57" t="s">
        <v>443</v>
      </c>
      <c r="I57" t="s">
        <v>400</v>
      </c>
      <c r="J57" t="s">
        <v>565</v>
      </c>
    </row>
    <row r="58" spans="1:10" x14ac:dyDescent="0.2">
      <c r="A58" t="s">
        <v>313</v>
      </c>
      <c r="B58" t="s">
        <v>459</v>
      </c>
      <c r="C58" t="s">
        <v>368</v>
      </c>
      <c r="D58" t="s">
        <v>316</v>
      </c>
      <c r="E58" t="s">
        <v>393</v>
      </c>
      <c r="F58" s="1" t="s">
        <v>530</v>
      </c>
      <c r="G58" t="s">
        <v>375</v>
      </c>
      <c r="H58" t="s">
        <v>409</v>
      </c>
      <c r="I58" t="s">
        <v>413</v>
      </c>
      <c r="J58" t="s">
        <v>565</v>
      </c>
    </row>
    <row r="59" spans="1:10" x14ac:dyDescent="0.2">
      <c r="A59" t="s">
        <v>460</v>
      </c>
      <c r="B59" t="s">
        <v>420</v>
      </c>
      <c r="C59" t="s">
        <v>367</v>
      </c>
      <c r="D59" t="s">
        <v>368</v>
      </c>
      <c r="E59" t="s">
        <v>392</v>
      </c>
      <c r="F59" s="1" t="s">
        <v>532</v>
      </c>
      <c r="G59" t="s">
        <v>375</v>
      </c>
      <c r="H59" t="s">
        <v>421</v>
      </c>
      <c r="I59" t="s">
        <v>405</v>
      </c>
      <c r="J59" t="s">
        <v>565</v>
      </c>
    </row>
    <row r="60" spans="1:10" x14ac:dyDescent="0.2">
      <c r="A60" t="s">
        <v>461</v>
      </c>
      <c r="B60" t="s">
        <v>462</v>
      </c>
      <c r="C60" t="s">
        <v>367</v>
      </c>
      <c r="D60" t="s">
        <v>368</v>
      </c>
      <c r="E60" t="s">
        <v>394</v>
      </c>
      <c r="F60" s="1" t="s">
        <v>533</v>
      </c>
      <c r="G60" t="s">
        <v>375</v>
      </c>
      <c r="H60" t="s">
        <v>412</v>
      </c>
      <c r="I60" t="s">
        <v>405</v>
      </c>
      <c r="J60" t="s">
        <v>565</v>
      </c>
    </row>
    <row r="61" spans="1:10" x14ac:dyDescent="0.2">
      <c r="A61" t="s">
        <v>463</v>
      </c>
      <c r="B61" t="s">
        <v>459</v>
      </c>
      <c r="C61" t="s">
        <v>367</v>
      </c>
      <c r="D61" t="s">
        <v>368</v>
      </c>
      <c r="E61" t="s">
        <v>394</v>
      </c>
      <c r="F61" s="1" t="s">
        <v>533</v>
      </c>
      <c r="G61" t="s">
        <v>375</v>
      </c>
      <c r="H61" t="s">
        <v>409</v>
      </c>
      <c r="I61" t="s">
        <v>413</v>
      </c>
      <c r="J61" t="s">
        <v>565</v>
      </c>
    </row>
    <row r="62" spans="1:10" x14ac:dyDescent="0.2">
      <c r="A62" t="s">
        <v>464</v>
      </c>
      <c r="B62" t="s">
        <v>452</v>
      </c>
      <c r="C62" t="s">
        <v>366</v>
      </c>
      <c r="D62" t="s">
        <v>367</v>
      </c>
      <c r="E62" t="s">
        <v>389</v>
      </c>
      <c r="F62" s="1" t="s">
        <v>393</v>
      </c>
      <c r="G62" t="s">
        <v>375</v>
      </c>
      <c r="H62" t="s">
        <v>452</v>
      </c>
      <c r="I62" t="s">
        <v>400</v>
      </c>
      <c r="J62" t="s">
        <v>565</v>
      </c>
    </row>
    <row r="63" spans="1:10" x14ac:dyDescent="0.2">
      <c r="A63" t="s">
        <v>465</v>
      </c>
      <c r="B63" t="s">
        <v>452</v>
      </c>
      <c r="C63" t="s">
        <v>367</v>
      </c>
      <c r="D63" t="s">
        <v>368</v>
      </c>
      <c r="E63" t="s">
        <v>389</v>
      </c>
      <c r="F63" s="1" t="s">
        <v>393</v>
      </c>
      <c r="G63" t="s">
        <v>375</v>
      </c>
      <c r="H63" t="s">
        <v>452</v>
      </c>
      <c r="I63" t="s">
        <v>405</v>
      </c>
      <c r="J63" t="s">
        <v>565</v>
      </c>
    </row>
    <row r="64" spans="1:10" x14ac:dyDescent="0.2">
      <c r="A64" t="s">
        <v>466</v>
      </c>
      <c r="B64" t="s">
        <v>459</v>
      </c>
      <c r="C64" t="s">
        <v>368</v>
      </c>
      <c r="D64" t="s">
        <v>316</v>
      </c>
      <c r="E64" t="s">
        <v>389</v>
      </c>
      <c r="F64" s="1" t="s">
        <v>393</v>
      </c>
      <c r="G64" t="s">
        <v>402</v>
      </c>
      <c r="H64" t="s">
        <v>409</v>
      </c>
      <c r="I64" t="s">
        <v>405</v>
      </c>
      <c r="J64" t="s">
        <v>565</v>
      </c>
    </row>
    <row r="65" spans="1:10" x14ac:dyDescent="0.2">
      <c r="A65" t="s">
        <v>467</v>
      </c>
      <c r="B65" t="s">
        <v>417</v>
      </c>
      <c r="C65" t="s">
        <v>368</v>
      </c>
      <c r="D65" t="s">
        <v>316</v>
      </c>
      <c r="E65" t="s">
        <v>390</v>
      </c>
      <c r="F65" s="1" t="s">
        <v>531</v>
      </c>
      <c r="G65" t="s">
        <v>375</v>
      </c>
      <c r="H65" t="s">
        <v>443</v>
      </c>
      <c r="I65" t="s">
        <v>400</v>
      </c>
      <c r="J65" t="s">
        <v>565</v>
      </c>
    </row>
    <row r="66" spans="1:10" x14ac:dyDescent="0.2">
      <c r="A66" t="s">
        <v>378</v>
      </c>
      <c r="B66" t="s">
        <v>468</v>
      </c>
      <c r="C66" t="s">
        <v>368</v>
      </c>
      <c r="D66" t="s">
        <v>379</v>
      </c>
      <c r="E66" t="s">
        <v>394</v>
      </c>
      <c r="F66" s="1" t="s">
        <v>533</v>
      </c>
      <c r="G66" t="s">
        <v>375</v>
      </c>
      <c r="H66" t="s">
        <v>418</v>
      </c>
      <c r="I66" t="s">
        <v>413</v>
      </c>
      <c r="J66" t="s">
        <v>565</v>
      </c>
    </row>
    <row r="67" spans="1:10" x14ac:dyDescent="0.2">
      <c r="A67" s="1" t="s">
        <v>510</v>
      </c>
      <c r="B67" t="s">
        <v>420</v>
      </c>
      <c r="C67" t="s">
        <v>316</v>
      </c>
      <c r="D67" t="s">
        <v>380</v>
      </c>
      <c r="E67" t="s">
        <v>390</v>
      </c>
      <c r="F67" s="1" t="s">
        <v>531</v>
      </c>
      <c r="G67" t="s">
        <v>375</v>
      </c>
      <c r="H67" t="s">
        <v>469</v>
      </c>
      <c r="I67" t="s">
        <v>413</v>
      </c>
      <c r="J67" t="s">
        <v>565</v>
      </c>
    </row>
    <row r="68" spans="1:10" x14ac:dyDescent="0.2">
      <c r="A68" t="s">
        <v>385</v>
      </c>
      <c r="B68" t="s">
        <v>462</v>
      </c>
      <c r="C68" t="s">
        <v>380</v>
      </c>
      <c r="D68" t="s">
        <v>386</v>
      </c>
      <c r="E68" t="s">
        <v>390</v>
      </c>
      <c r="F68" s="1" t="s">
        <v>531</v>
      </c>
      <c r="G68" t="s">
        <v>375</v>
      </c>
      <c r="H68" t="s">
        <v>470</v>
      </c>
      <c r="I68" t="s">
        <v>413</v>
      </c>
      <c r="J68" t="s">
        <v>565</v>
      </c>
    </row>
    <row r="69" spans="1:10" x14ac:dyDescent="0.2">
      <c r="A69" t="s">
        <v>471</v>
      </c>
      <c r="B69" t="s">
        <v>407</v>
      </c>
      <c r="C69" t="s">
        <v>316</v>
      </c>
      <c r="D69" t="s">
        <v>380</v>
      </c>
      <c r="E69" t="s">
        <v>389</v>
      </c>
      <c r="F69" s="1" t="s">
        <v>393</v>
      </c>
      <c r="G69" t="s">
        <v>375</v>
      </c>
      <c r="H69" t="s">
        <v>418</v>
      </c>
      <c r="I69" t="s">
        <v>400</v>
      </c>
      <c r="J69" t="s">
        <v>565</v>
      </c>
    </row>
    <row r="70" spans="1:10" x14ac:dyDescent="0.2">
      <c r="A70" t="s">
        <v>472</v>
      </c>
      <c r="B70" t="s">
        <v>459</v>
      </c>
      <c r="C70" t="s">
        <v>316</v>
      </c>
      <c r="D70" t="s">
        <v>380</v>
      </c>
      <c r="E70" t="s">
        <v>393</v>
      </c>
      <c r="F70" s="1" t="s">
        <v>530</v>
      </c>
      <c r="G70" t="s">
        <v>375</v>
      </c>
      <c r="H70" t="s">
        <v>469</v>
      </c>
      <c r="I70" t="s">
        <v>400</v>
      </c>
      <c r="J70" t="s">
        <v>565</v>
      </c>
    </row>
    <row r="71" spans="1:10" x14ac:dyDescent="0.2">
      <c r="A71" t="s">
        <v>388</v>
      </c>
      <c r="B71" t="s">
        <v>430</v>
      </c>
      <c r="C71" t="s">
        <v>380</v>
      </c>
      <c r="D71" t="s">
        <v>168</v>
      </c>
      <c r="E71" t="s">
        <v>393</v>
      </c>
      <c r="F71" s="1" t="s">
        <v>530</v>
      </c>
      <c r="G71" t="s">
        <v>375</v>
      </c>
      <c r="H71" t="s">
        <v>418</v>
      </c>
      <c r="I71" t="s">
        <v>413</v>
      </c>
      <c r="J71" t="s">
        <v>565</v>
      </c>
    </row>
    <row r="72" spans="1:10" x14ac:dyDescent="0.2">
      <c r="A72" s="1" t="s">
        <v>511</v>
      </c>
      <c r="B72" t="s">
        <v>473</v>
      </c>
      <c r="C72" t="s">
        <v>368</v>
      </c>
      <c r="D72" t="s">
        <v>379</v>
      </c>
      <c r="E72" t="s">
        <v>390</v>
      </c>
      <c r="F72" s="1" t="s">
        <v>531</v>
      </c>
      <c r="G72" t="s">
        <v>375</v>
      </c>
      <c r="H72" t="s">
        <v>470</v>
      </c>
      <c r="I72" t="s">
        <v>413</v>
      </c>
      <c r="J72" t="s">
        <v>565</v>
      </c>
    </row>
    <row r="73" spans="1:10" x14ac:dyDescent="0.2">
      <c r="A73" t="s">
        <v>474</v>
      </c>
      <c r="B73" t="s">
        <v>456</v>
      </c>
      <c r="C73" t="s">
        <v>316</v>
      </c>
      <c r="D73" t="s">
        <v>380</v>
      </c>
      <c r="E73" t="s">
        <v>390</v>
      </c>
      <c r="F73" s="1" t="s">
        <v>531</v>
      </c>
      <c r="G73" t="s">
        <v>375</v>
      </c>
      <c r="H73" t="s">
        <v>470</v>
      </c>
      <c r="I73" t="s">
        <v>403</v>
      </c>
      <c r="J73" t="s">
        <v>565</v>
      </c>
    </row>
    <row r="74" spans="1:10" x14ac:dyDescent="0.2">
      <c r="A74" s="1" t="s">
        <v>512</v>
      </c>
      <c r="B74" t="s">
        <v>456</v>
      </c>
      <c r="C74" t="s">
        <v>368</v>
      </c>
      <c r="D74" t="s">
        <v>316</v>
      </c>
      <c r="E74" t="s">
        <v>390</v>
      </c>
      <c r="F74" s="1" t="s">
        <v>531</v>
      </c>
      <c r="G74" t="s">
        <v>375</v>
      </c>
      <c r="H74" t="s">
        <v>469</v>
      </c>
      <c r="I74" t="s">
        <v>405</v>
      </c>
      <c r="J74" t="s">
        <v>565</v>
      </c>
    </row>
    <row r="75" spans="1:10" x14ac:dyDescent="0.2">
      <c r="A75" s="1" t="s">
        <v>515</v>
      </c>
      <c r="B75" t="s">
        <v>456</v>
      </c>
      <c r="C75" t="s">
        <v>368</v>
      </c>
      <c r="D75" t="s">
        <v>379</v>
      </c>
      <c r="E75" t="s">
        <v>390</v>
      </c>
      <c r="F75" s="1" t="s">
        <v>531</v>
      </c>
      <c r="G75" t="s">
        <v>375</v>
      </c>
      <c r="H75" t="s">
        <v>470</v>
      </c>
      <c r="I75" t="s">
        <v>405</v>
      </c>
      <c r="J75" t="s">
        <v>565</v>
      </c>
    </row>
    <row r="76" spans="1:10" x14ac:dyDescent="0.2">
      <c r="A76" t="s">
        <v>475</v>
      </c>
      <c r="B76" t="s">
        <v>476</v>
      </c>
      <c r="C76" t="s">
        <v>368</v>
      </c>
      <c r="D76" t="s">
        <v>379</v>
      </c>
      <c r="E76" t="s">
        <v>392</v>
      </c>
      <c r="F76" s="1" t="s">
        <v>532</v>
      </c>
      <c r="G76" t="s">
        <v>375</v>
      </c>
      <c r="H76" t="s">
        <v>469</v>
      </c>
      <c r="I76" t="s">
        <v>403</v>
      </c>
      <c r="J76" t="s">
        <v>565</v>
      </c>
    </row>
    <row r="77" spans="1:10" x14ac:dyDescent="0.2">
      <c r="A77" t="s">
        <v>477</v>
      </c>
      <c r="B77" t="s">
        <v>468</v>
      </c>
      <c r="C77" t="s">
        <v>368</v>
      </c>
      <c r="D77" t="s">
        <v>316</v>
      </c>
      <c r="E77" t="s">
        <v>390</v>
      </c>
      <c r="F77" s="1" t="s">
        <v>531</v>
      </c>
      <c r="G77" t="s">
        <v>478</v>
      </c>
      <c r="H77" t="s">
        <v>415</v>
      </c>
      <c r="I77" t="s">
        <v>405</v>
      </c>
      <c r="J77" t="s">
        <v>565</v>
      </c>
    </row>
    <row r="78" spans="1:10" x14ac:dyDescent="0.2">
      <c r="A78" t="s">
        <v>479</v>
      </c>
      <c r="B78" t="s">
        <v>480</v>
      </c>
      <c r="C78" t="s">
        <v>368</v>
      </c>
      <c r="D78" t="s">
        <v>316</v>
      </c>
      <c r="E78" t="s">
        <v>390</v>
      </c>
      <c r="F78" s="1" t="s">
        <v>531</v>
      </c>
      <c r="G78" t="s">
        <v>481</v>
      </c>
      <c r="H78" t="s">
        <v>415</v>
      </c>
      <c r="I78" t="s">
        <v>405</v>
      </c>
      <c r="J78" t="s">
        <v>565</v>
      </c>
    </row>
    <row r="79" spans="1:10" x14ac:dyDescent="0.2">
      <c r="A79" t="s">
        <v>482</v>
      </c>
      <c r="B79" t="s">
        <v>483</v>
      </c>
      <c r="C79" t="s">
        <v>367</v>
      </c>
      <c r="D79" t="s">
        <v>368</v>
      </c>
      <c r="E79" t="s">
        <v>390</v>
      </c>
      <c r="F79" s="1" t="s">
        <v>531</v>
      </c>
      <c r="G79" t="s">
        <v>484</v>
      </c>
      <c r="H79" t="s">
        <v>412</v>
      </c>
      <c r="I79" t="s">
        <v>405</v>
      </c>
      <c r="J79" t="s">
        <v>565</v>
      </c>
    </row>
    <row r="80" spans="1:10" x14ac:dyDescent="0.2">
      <c r="A80" t="s">
        <v>485</v>
      </c>
      <c r="B80" t="s">
        <v>468</v>
      </c>
      <c r="C80" t="s">
        <v>367</v>
      </c>
      <c r="D80" t="s">
        <v>368</v>
      </c>
      <c r="E80" t="s">
        <v>390</v>
      </c>
      <c r="F80" s="1" t="s">
        <v>531</v>
      </c>
      <c r="G80" t="s">
        <v>486</v>
      </c>
      <c r="H80" t="s">
        <v>412</v>
      </c>
      <c r="I80" t="s">
        <v>405</v>
      </c>
      <c r="J80" t="s">
        <v>565</v>
      </c>
    </row>
    <row r="81" spans="1:10" x14ac:dyDescent="0.2">
      <c r="A81" t="s">
        <v>487</v>
      </c>
      <c r="B81" t="s">
        <v>398</v>
      </c>
      <c r="C81" t="s">
        <v>367</v>
      </c>
      <c r="D81" t="s">
        <v>368</v>
      </c>
      <c r="E81" t="s">
        <v>389</v>
      </c>
      <c r="F81" s="1" t="s">
        <v>393</v>
      </c>
      <c r="G81" t="s">
        <v>375</v>
      </c>
      <c r="H81" t="s">
        <v>412</v>
      </c>
      <c r="I81" t="s">
        <v>413</v>
      </c>
      <c r="J81" t="s">
        <v>565</v>
      </c>
    </row>
    <row r="82" spans="1:10" x14ac:dyDescent="0.2">
      <c r="A82" t="s">
        <v>488</v>
      </c>
      <c r="B82" t="s">
        <v>398</v>
      </c>
      <c r="C82" t="s">
        <v>367</v>
      </c>
      <c r="D82" t="s">
        <v>368</v>
      </c>
      <c r="E82" t="s">
        <v>389</v>
      </c>
      <c r="F82" s="1" t="s">
        <v>393</v>
      </c>
      <c r="G82" t="s">
        <v>375</v>
      </c>
      <c r="H82" t="s">
        <v>412</v>
      </c>
      <c r="I82" t="s">
        <v>400</v>
      </c>
      <c r="J82" t="s">
        <v>565</v>
      </c>
    </row>
    <row r="83" spans="1:10" x14ac:dyDescent="0.2">
      <c r="A83" t="s">
        <v>489</v>
      </c>
      <c r="B83" t="s">
        <v>423</v>
      </c>
      <c r="C83" t="s">
        <v>366</v>
      </c>
      <c r="D83" t="s">
        <v>367</v>
      </c>
      <c r="E83" t="s">
        <v>389</v>
      </c>
      <c r="F83" s="1" t="s">
        <v>393</v>
      </c>
      <c r="G83" t="s">
        <v>402</v>
      </c>
      <c r="H83" t="s">
        <v>399</v>
      </c>
      <c r="I83" t="s">
        <v>400</v>
      </c>
      <c r="J83" t="s">
        <v>565</v>
      </c>
    </row>
    <row r="84" spans="1:10" x14ac:dyDescent="0.2">
      <c r="A84" t="s">
        <v>490</v>
      </c>
      <c r="B84" t="s">
        <v>491</v>
      </c>
      <c r="C84" t="s">
        <v>367</v>
      </c>
      <c r="D84" t="s">
        <v>368</v>
      </c>
      <c r="E84" t="s">
        <v>389</v>
      </c>
      <c r="F84" s="1" t="s">
        <v>393</v>
      </c>
      <c r="G84" t="s">
        <v>375</v>
      </c>
      <c r="H84" t="s">
        <v>399</v>
      </c>
      <c r="I84" t="s">
        <v>405</v>
      </c>
      <c r="J84" t="s">
        <v>565</v>
      </c>
    </row>
    <row r="85" spans="1:10" x14ac:dyDescent="0.2">
      <c r="A85" t="s">
        <v>492</v>
      </c>
      <c r="B85" t="s">
        <v>433</v>
      </c>
      <c r="C85" t="s">
        <v>316</v>
      </c>
      <c r="D85" t="s">
        <v>380</v>
      </c>
      <c r="E85" t="s">
        <v>393</v>
      </c>
      <c r="F85" s="1" t="s">
        <v>530</v>
      </c>
      <c r="G85" t="s">
        <v>375</v>
      </c>
      <c r="H85" t="s">
        <v>421</v>
      </c>
      <c r="I85" t="s">
        <v>413</v>
      </c>
      <c r="J85" t="s">
        <v>565</v>
      </c>
    </row>
    <row r="86" spans="1:10" x14ac:dyDescent="0.2">
      <c r="A86" t="s">
        <v>493</v>
      </c>
      <c r="B86" t="s">
        <v>483</v>
      </c>
      <c r="C86" t="s">
        <v>316</v>
      </c>
      <c r="D86" t="s">
        <v>380</v>
      </c>
      <c r="E86" t="s">
        <v>390</v>
      </c>
      <c r="F86" s="1" t="s">
        <v>531</v>
      </c>
      <c r="G86" t="s">
        <v>375</v>
      </c>
      <c r="H86" t="s">
        <v>418</v>
      </c>
      <c r="I86" t="s">
        <v>413</v>
      </c>
      <c r="J86" t="s">
        <v>565</v>
      </c>
    </row>
    <row r="87" spans="1:10" x14ac:dyDescent="0.2">
      <c r="A87" s="1" t="s">
        <v>516</v>
      </c>
      <c r="B87" t="s">
        <v>423</v>
      </c>
      <c r="C87" s="1" t="s">
        <v>365</v>
      </c>
      <c r="D87" s="1" t="s">
        <v>366</v>
      </c>
      <c r="E87" t="s">
        <v>389</v>
      </c>
      <c r="F87" s="1" t="s">
        <v>393</v>
      </c>
      <c r="G87" t="s">
        <v>375</v>
      </c>
      <c r="H87" t="s">
        <v>412</v>
      </c>
      <c r="I87" t="s">
        <v>413</v>
      </c>
      <c r="J87" t="s">
        <v>565</v>
      </c>
    </row>
    <row r="88" spans="1:10" x14ac:dyDescent="0.2">
      <c r="A88" s="1" t="s">
        <v>517</v>
      </c>
      <c r="B88" t="s">
        <v>494</v>
      </c>
      <c r="C88" t="s">
        <v>427</v>
      </c>
      <c r="D88" t="s">
        <v>495</v>
      </c>
      <c r="E88" t="s">
        <v>390</v>
      </c>
      <c r="F88" s="1" t="s">
        <v>531</v>
      </c>
      <c r="G88" t="s">
        <v>375</v>
      </c>
      <c r="H88" t="s">
        <v>496</v>
      </c>
      <c r="I88" t="s">
        <v>413</v>
      </c>
      <c r="J88" t="s">
        <v>565</v>
      </c>
    </row>
    <row r="89" spans="1:10" x14ac:dyDescent="0.2">
      <c r="A89" s="1" t="s">
        <v>518</v>
      </c>
      <c r="B89" t="s">
        <v>497</v>
      </c>
      <c r="C89" t="s">
        <v>368</v>
      </c>
      <c r="D89" t="s">
        <v>379</v>
      </c>
      <c r="E89" t="s">
        <v>389</v>
      </c>
      <c r="F89" s="1" t="s">
        <v>393</v>
      </c>
      <c r="G89" t="s">
        <v>375</v>
      </c>
      <c r="H89" t="s">
        <v>469</v>
      </c>
      <c r="I89" t="s">
        <v>405</v>
      </c>
      <c r="J89" t="s">
        <v>208</v>
      </c>
    </row>
    <row r="90" spans="1:10" x14ac:dyDescent="0.2">
      <c r="A90" s="1" t="s">
        <v>519</v>
      </c>
      <c r="B90" t="s">
        <v>498</v>
      </c>
      <c r="C90" t="s">
        <v>427</v>
      </c>
      <c r="D90" t="s">
        <v>495</v>
      </c>
      <c r="E90" t="s">
        <v>389</v>
      </c>
      <c r="F90" s="1" t="s">
        <v>393</v>
      </c>
      <c r="G90" t="s">
        <v>375</v>
      </c>
      <c r="H90" t="s">
        <v>469</v>
      </c>
      <c r="I90" t="s">
        <v>400</v>
      </c>
      <c r="J90" t="s">
        <v>565</v>
      </c>
    </row>
    <row r="91" spans="1:10" x14ac:dyDescent="0.2">
      <c r="A91" s="1" t="s">
        <v>520</v>
      </c>
      <c r="B91" t="s">
        <v>462</v>
      </c>
      <c r="C91" t="s">
        <v>499</v>
      </c>
      <c r="D91" t="s">
        <v>500</v>
      </c>
      <c r="E91" t="s">
        <v>391</v>
      </c>
      <c r="F91" s="1" t="s">
        <v>534</v>
      </c>
      <c r="G91" t="s">
        <v>375</v>
      </c>
      <c r="H91" t="s">
        <v>421</v>
      </c>
      <c r="I91" t="s">
        <v>501</v>
      </c>
      <c r="J91" t="s">
        <v>565</v>
      </c>
    </row>
    <row r="92" spans="1:10" x14ac:dyDescent="0.2">
      <c r="A92" s="1" t="s">
        <v>521</v>
      </c>
      <c r="B92" t="s">
        <v>480</v>
      </c>
      <c r="C92" t="s">
        <v>427</v>
      </c>
      <c r="D92" t="s">
        <v>495</v>
      </c>
      <c r="E92" t="s">
        <v>393</v>
      </c>
      <c r="F92" s="1" t="s">
        <v>530</v>
      </c>
      <c r="G92" t="s">
        <v>375</v>
      </c>
      <c r="H92" t="s">
        <v>469</v>
      </c>
      <c r="I92" t="s">
        <v>413</v>
      </c>
      <c r="J92" t="s">
        <v>565</v>
      </c>
    </row>
    <row r="93" spans="1:10" x14ac:dyDescent="0.2">
      <c r="A93" s="1" t="s">
        <v>522</v>
      </c>
      <c r="B93" t="s">
        <v>430</v>
      </c>
      <c r="C93" t="s">
        <v>499</v>
      </c>
      <c r="D93" t="s">
        <v>500</v>
      </c>
      <c r="E93" t="s">
        <v>390</v>
      </c>
      <c r="F93" s="1" t="s">
        <v>531</v>
      </c>
      <c r="G93" t="s">
        <v>375</v>
      </c>
      <c r="H93" t="s">
        <v>470</v>
      </c>
      <c r="I93" t="s">
        <v>502</v>
      </c>
      <c r="J93" t="s">
        <v>565</v>
      </c>
    </row>
    <row r="94" spans="1:10" x14ac:dyDescent="0.2">
      <c r="A94" t="s">
        <v>503</v>
      </c>
      <c r="B94" t="s">
        <v>407</v>
      </c>
      <c r="C94" s="1" t="s">
        <v>366</v>
      </c>
      <c r="D94" s="1" t="s">
        <v>367</v>
      </c>
      <c r="E94" t="s">
        <v>389</v>
      </c>
      <c r="F94" s="1" t="s">
        <v>393</v>
      </c>
      <c r="G94" t="s">
        <v>402</v>
      </c>
      <c r="H94" t="s">
        <v>412</v>
      </c>
      <c r="I94" t="s">
        <v>400</v>
      </c>
      <c r="J94" t="s">
        <v>565</v>
      </c>
    </row>
    <row r="95" spans="1:10" x14ac:dyDescent="0.2">
      <c r="A95" t="s">
        <v>504</v>
      </c>
      <c r="B95" t="s">
        <v>480</v>
      </c>
      <c r="C95" t="s">
        <v>366</v>
      </c>
      <c r="D95" t="s">
        <v>367</v>
      </c>
      <c r="E95" t="s">
        <v>393</v>
      </c>
      <c r="F95" s="1" t="s">
        <v>530</v>
      </c>
      <c r="G95" t="s">
        <v>439</v>
      </c>
      <c r="H95" t="s">
        <v>412</v>
      </c>
      <c r="I95" t="s">
        <v>405</v>
      </c>
      <c r="J95" t="s">
        <v>565</v>
      </c>
    </row>
    <row r="96" spans="1:10" x14ac:dyDescent="0.2">
      <c r="A96" t="s">
        <v>505</v>
      </c>
      <c r="B96" t="s">
        <v>506</v>
      </c>
      <c r="C96" t="s">
        <v>316</v>
      </c>
      <c r="D96" t="s">
        <v>380</v>
      </c>
      <c r="E96" t="s">
        <v>393</v>
      </c>
      <c r="F96" s="1" t="s">
        <v>530</v>
      </c>
      <c r="G96" t="s">
        <v>431</v>
      </c>
      <c r="H96" t="s">
        <v>470</v>
      </c>
      <c r="I96" t="s">
        <v>405</v>
      </c>
      <c r="J96" t="s">
        <v>565</v>
      </c>
    </row>
    <row r="97" spans="1:10" x14ac:dyDescent="0.2">
      <c r="A97" t="s">
        <v>507</v>
      </c>
      <c r="B97" t="s">
        <v>508</v>
      </c>
      <c r="C97" t="s">
        <v>368</v>
      </c>
      <c r="D97" t="s">
        <v>316</v>
      </c>
      <c r="E97" t="s">
        <v>393</v>
      </c>
      <c r="F97" s="1" t="s">
        <v>530</v>
      </c>
      <c r="G97" t="s">
        <v>434</v>
      </c>
      <c r="H97" t="s">
        <v>421</v>
      </c>
      <c r="I97" t="s">
        <v>405</v>
      </c>
      <c r="J97" t="s">
        <v>565</v>
      </c>
    </row>
    <row r="98" spans="1:10" x14ac:dyDescent="0.2">
      <c r="A98" t="s">
        <v>509</v>
      </c>
      <c r="B98" t="s">
        <v>423</v>
      </c>
      <c r="C98">
        <v>1</v>
      </c>
      <c r="D98" t="s">
        <v>365</v>
      </c>
      <c r="E98" t="s">
        <v>389</v>
      </c>
      <c r="F98" s="1" t="s">
        <v>393</v>
      </c>
      <c r="G98" t="s">
        <v>402</v>
      </c>
      <c r="H98" t="s">
        <v>437</v>
      </c>
      <c r="I98" t="s">
        <v>405</v>
      </c>
      <c r="J98" t="s">
        <v>565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Character</vt:lpstr>
      <vt:lpstr>Skills</vt:lpstr>
      <vt:lpstr>Spells</vt:lpstr>
      <vt:lpstr>Feats</vt:lpstr>
      <vt:lpstr>Equipment</vt:lpstr>
      <vt:lpstr>Active Spells</vt:lpstr>
      <vt:lpstr>Bonus</vt:lpstr>
      <vt:lpstr>Races</vt:lpstr>
      <vt:lpstr>Classes</vt:lpstr>
      <vt:lpstr>Charts</vt:lpstr>
      <vt:lpstr>Charts!weapons.htm_tableWeapons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Althaus</dc:creator>
  <cp:lastModifiedBy>Greg Althaus</cp:lastModifiedBy>
  <dcterms:created xsi:type="dcterms:W3CDTF">2007-09-03T01:38:07Z</dcterms:created>
  <dcterms:modified xsi:type="dcterms:W3CDTF">2014-11-23T05:18:16Z</dcterms:modified>
</cp:coreProperties>
</file>